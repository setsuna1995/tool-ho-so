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amvietnam-my.sharepoint.com/personal/trungtamnghiencuu_viamvietnam_onmicrosoft_com/Documents/VIAM RC/Thư viện TTNC/QUẢN LÝ KHOA HỌC - Hồ sơ mẫu TRẮNG/"/>
    </mc:Choice>
  </mc:AlternateContent>
  <xr:revisionPtr revIDLastSave="7" documentId="8_{B903B6D5-FD9F-4418-9C32-5BD84637130B}" xr6:coauthVersionLast="47" xr6:coauthVersionMax="47" xr10:uidLastSave="{3010725C-C9FC-43EE-B1C0-8FD13FED588A}"/>
  <bookViews>
    <workbookView xWindow="-120" yWindow="-120" windowWidth="29040" windowHeight="15720" xr2:uid="{E8CAB1F5-D802-46B0-88C3-70E323765483}"/>
  </bookViews>
  <sheets>
    <sheet name="Đề tài - Bánh ăn dặm VIAM 2027" sheetId="1" r:id="rId1"/>
    <sheet name="Đề tài - Mẫu trắng dự án mớ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5" i="2" l="1"/>
  <c r="F74" i="2"/>
  <c r="F73" i="2"/>
  <c r="F72" i="2"/>
  <c r="F71" i="2"/>
  <c r="F70" i="2"/>
  <c r="F69" i="2"/>
  <c r="F68" i="2"/>
  <c r="F67" i="2"/>
  <c r="F66" i="2"/>
  <c r="F64" i="2"/>
  <c r="F63" i="2"/>
  <c r="F62" i="2"/>
  <c r="F61" i="2"/>
  <c r="F60" i="2"/>
  <c r="F59" i="2"/>
  <c r="F58" i="2"/>
  <c r="F57" i="2"/>
  <c r="F56" i="2"/>
  <c r="F55" i="2"/>
  <c r="F53" i="2"/>
  <c r="F52" i="2"/>
  <c r="F51" i="2"/>
  <c r="F50" i="2"/>
  <c r="F49" i="2"/>
  <c r="F48" i="2"/>
  <c r="F47" i="2"/>
  <c r="F46" i="2"/>
  <c r="F45" i="2"/>
  <c r="F44" i="2"/>
  <c r="F42" i="2"/>
  <c r="F41" i="2"/>
  <c r="F40" i="2"/>
  <c r="F39" i="2"/>
  <c r="F38" i="2"/>
  <c r="F37" i="2"/>
  <c r="F36" i="2"/>
  <c r="F35" i="2"/>
  <c r="F34" i="2"/>
  <c r="F33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0" i="2"/>
  <c r="F9" i="2"/>
  <c r="F8" i="2"/>
  <c r="F7" i="2"/>
  <c r="F6" i="2"/>
  <c r="A2" i="2"/>
  <c r="F75" i="1"/>
  <c r="F74" i="1"/>
  <c r="F73" i="1"/>
  <c r="F72" i="1"/>
  <c r="F71" i="1"/>
  <c r="F70" i="1"/>
  <c r="F69" i="1"/>
  <c r="F68" i="1"/>
  <c r="F67" i="1"/>
  <c r="F66" i="1"/>
  <c r="F64" i="1"/>
  <c r="F63" i="1"/>
  <c r="F62" i="1"/>
  <c r="F61" i="1"/>
  <c r="F60" i="1"/>
  <c r="F59" i="1"/>
  <c r="F58" i="1"/>
  <c r="F57" i="1"/>
  <c r="F56" i="1"/>
  <c r="F55" i="1"/>
  <c r="F53" i="1"/>
  <c r="F52" i="1"/>
  <c r="F51" i="1"/>
  <c r="F50" i="1"/>
  <c r="F49" i="1"/>
  <c r="F48" i="1"/>
  <c r="F47" i="1"/>
  <c r="F46" i="1"/>
  <c r="F45" i="1"/>
  <c r="F44" i="1"/>
  <c r="F42" i="1"/>
  <c r="F41" i="1"/>
  <c r="F40" i="1"/>
  <c r="F39" i="1"/>
  <c r="F38" i="1"/>
  <c r="F37" i="1"/>
  <c r="F36" i="1"/>
  <c r="F35" i="1"/>
  <c r="F34" i="1"/>
  <c r="F33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0" i="1"/>
  <c r="F9" i="1"/>
  <c r="F8" i="1"/>
  <c r="F7" i="1"/>
  <c r="F6" i="1"/>
  <c r="A2" i="1" l="1"/>
</calcChain>
</file>

<file path=xl/sharedStrings.xml><?xml version="1.0" encoding="utf-8"?>
<sst xmlns="http://schemas.openxmlformats.org/spreadsheetml/2006/main" count="385" uniqueCount="183">
  <si>
    <t>BẢNG NHẬP THÔNG TIN VÀ CHECKLIST KIỂM TRA HỒ SƠ NGHIÊN CỨU KHOA HỌC</t>
  </si>
  <si>
    <t>MÃ MỤC</t>
  </si>
  <si>
    <t>HẠNG MỤC THÔNG TIN CẦN ĐIỀN</t>
  </si>
  <si>
    <t>HỌ VÀ TÊN / NỘI DUNG (Ô VÀNG BẮT BUỘC / KHÔNG NỀN TÙY CHỌN)</t>
  </si>
  <si>
    <t>HỌC HÀM / HỌC VỊ / TÊN FILE CV</t>
  </si>
  <si>
    <t>CHỨC VỤ &amp; NƠI CÔNG TÁC / ĐƯỜNG DẪN LINK CV</t>
  </si>
  <si>
    <t>TRẠNG THÁI KIỂM TRA (TỰ ĐỘNG)</t>
  </si>
  <si>
    <t>SEC_A</t>
  </si>
  <si>
    <t>PHẦN A: THÔNG TIN CHUNG DỰ ÁN &amp; ĐỀ TÀI</t>
  </si>
  <si>
    <t>A01</t>
  </si>
  <si>
    <t>Tên đề tài nghiên cứu</t>
  </si>
  <si>
    <t>Tư vấn hiệu quả công thức sản phẩm Bánh ăn dặm VIAM</t>
  </si>
  <si>
    <t>A02</t>
  </si>
  <si>
    <t>Loại hình nghiên cứu (TVCT_ĐGHQ / TNLS)</t>
  </si>
  <si>
    <t>TVCT_ĐGHQ</t>
  </si>
  <si>
    <t>A03</t>
  </si>
  <si>
    <t>Năm thực hiện hồ sơ (Bắt buộc điền năm)</t>
  </si>
  <si>
    <t>A04</t>
  </si>
  <si>
    <t>Cơ quan chủ trì</t>
  </si>
  <si>
    <t>Viện Y học Ứng dụng Việt Nam (VIAM)</t>
  </si>
  <si>
    <t>A05</t>
  </si>
  <si>
    <t>Thời gian triển khai NC</t>
  </si>
  <si>
    <t>Tháng 01/2027 đến tháng 12/2027</t>
  </si>
  <si>
    <t>SEC_B</t>
  </si>
  <si>
    <t>PHẦN B: BAN CHỦ NHIỆM &amp; NGHIÊN CỨU VIÊN ĐỀ TÀI (TỐI ĐA 20 NGƯỜI)</t>
  </si>
  <si>
    <t>B01</t>
  </si>
  <si>
    <t>Chủ nhiệm đề tài (CNĐT - Bắt buộc)</t>
  </si>
  <si>
    <t>Trương Hồng Sơn</t>
  </si>
  <si>
    <t>TS.BS.</t>
  </si>
  <si>
    <t>Viện trưởng - Viện Y học Ứng dụng VN</t>
  </si>
  <si>
    <t>B02</t>
  </si>
  <si>
    <t>Đồng Chủ nhiệm đề tài (Tùy chọn)</t>
  </si>
  <si>
    <t>B03</t>
  </si>
  <si>
    <t>Thư ký Đề tài (Khác Thư ký HĐ - Tùy chọn)</t>
  </si>
  <si>
    <t>Lưu Liên Hương</t>
  </si>
  <si>
    <t>Thạc sĩ</t>
  </si>
  <si>
    <t>Trung tâm NCKH - Viện VIAM</t>
  </si>
  <si>
    <t>B04</t>
  </si>
  <si>
    <t>Nghiên cứu viên 1</t>
  </si>
  <si>
    <t>Lê Việt Anh</t>
  </si>
  <si>
    <t>B05</t>
  </si>
  <si>
    <t>Nghiên cứu viên 2</t>
  </si>
  <si>
    <t>Lê Minh Khánh</t>
  </si>
  <si>
    <t>Bác sĩ</t>
  </si>
  <si>
    <t>Phòng khám VIAM</t>
  </si>
  <si>
    <t>B06</t>
  </si>
  <si>
    <t>Nghiên cứu viên 3</t>
  </si>
  <si>
    <t>B07</t>
  </si>
  <si>
    <t>Nghiên cứu viên 4</t>
  </si>
  <si>
    <t>B08</t>
  </si>
  <si>
    <t>Nghiên cứu viên 5</t>
  </si>
  <si>
    <t>B09</t>
  </si>
  <si>
    <t>Nghiên cứu viên 6</t>
  </si>
  <si>
    <t>B10</t>
  </si>
  <si>
    <t>Nghiên cứu viên 7</t>
  </si>
  <si>
    <t>B11</t>
  </si>
  <si>
    <t>Nghiên cứu viên 8</t>
  </si>
  <si>
    <t>B12</t>
  </si>
  <si>
    <t>Nghiên cứu viên 9</t>
  </si>
  <si>
    <t>B13</t>
  </si>
  <si>
    <t>Nghiên cứu viên 10</t>
  </si>
  <si>
    <t>B14</t>
  </si>
  <si>
    <t>Nghiên cứu viên 11</t>
  </si>
  <si>
    <t>B15</t>
  </si>
  <si>
    <t>Nghiên cứu viên 12</t>
  </si>
  <si>
    <t>B16</t>
  </si>
  <si>
    <t>Nghiên cứu viên 13</t>
  </si>
  <si>
    <t>B17</t>
  </si>
  <si>
    <t>Nghiên cứu viên 14</t>
  </si>
  <si>
    <t>B18</t>
  </si>
  <si>
    <t>Nghiên cứu viên 15</t>
  </si>
  <si>
    <t>B19</t>
  </si>
  <si>
    <t>Nghiên cứu viên 16</t>
  </si>
  <si>
    <t>B20</t>
  </si>
  <si>
    <t>Nghiên cứu viên 17</t>
  </si>
  <si>
    <t>SEC_C</t>
  </si>
  <si>
    <t>PHẦN C: HỘI ĐỒNG ĐẠO ĐỨC TRONG NGHIÊN CỨU (HĐ 01 - 7 THÀNH VIÊN BẮT BUỘC)</t>
  </si>
  <si>
    <t>C01</t>
  </si>
  <si>
    <t>Chủ tịch HĐ Đạo đức (Bắt buộc)</t>
  </si>
  <si>
    <t>Nguyễn Công Khẩn</t>
  </si>
  <si>
    <t>GS.TS.</t>
  </si>
  <si>
    <t>Hội đồng Đạo đức Y sinh Quốc gia</t>
  </si>
  <si>
    <t>C02</t>
  </si>
  <si>
    <t>Ủy viên Phản biện 1 (Bắt buộc)</t>
  </si>
  <si>
    <t>Nguyễn Xuân Ninh</t>
  </si>
  <si>
    <t>PGS.TS.BS.</t>
  </si>
  <si>
    <t>Viện Y học Ứng dụng Việt Nam</t>
  </si>
  <si>
    <t>C03</t>
  </si>
  <si>
    <t>Ủy viên Phản biện 2 (Bắt buộc)</t>
  </si>
  <si>
    <t>Lê Bạch Mai</t>
  </si>
  <si>
    <t>Nguyên Phó Viện trưởng Viện Dinh dưỡng QG</t>
  </si>
  <si>
    <t>C04</t>
  </si>
  <si>
    <t>Ủy viên HĐ Đạo đức 1 (Bắt buộc)</t>
  </si>
  <si>
    <t>Nguyễn Thị Lâm</t>
  </si>
  <si>
    <t>C05</t>
  </si>
  <si>
    <t>Ủy viên HĐ Đạo đức 2 (Bắt buộc)</t>
  </si>
  <si>
    <t>Nguyễn Quang Dũng</t>
  </si>
  <si>
    <t>Bộ môn Dinh dưỡng - ĐH Y Hà Nội</t>
  </si>
  <si>
    <t>C06</t>
  </si>
  <si>
    <t>Ủy viên Phản biện 3 (Tùy chọn)</t>
  </si>
  <si>
    <t>C07</t>
  </si>
  <si>
    <t>Ủy viên HĐ Đạo đức 3 (Tùy chọn)</t>
  </si>
  <si>
    <t>C08</t>
  </si>
  <si>
    <t>Ủy viên HĐ Đạo đức 4 (Tùy chọn)</t>
  </si>
  <si>
    <t>C09</t>
  </si>
  <si>
    <t>Thư ký HĐ Đạo đức 1 (Bắt buộc)</t>
  </si>
  <si>
    <t>C10</t>
  </si>
  <si>
    <t>Thư ký HĐ Đạo đức 2 (Bắt buộc)</t>
  </si>
  <si>
    <t>SEC_D</t>
  </si>
  <si>
    <t>PHẦN D: HỘI ĐỒNG KHOA HỌC XÉT DUYỆT ĐỀ CƯƠNG (HĐ 02 - 7 THÀNH VIÊN BẮT BUỘC)</t>
  </si>
  <si>
    <t>D01</t>
  </si>
  <si>
    <t>Chủ tịch HĐ Đề cương (Bắt buộc)</t>
  </si>
  <si>
    <t>D02</t>
  </si>
  <si>
    <t>D03</t>
  </si>
  <si>
    <t>Trần Quang Trung</t>
  </si>
  <si>
    <t>PGS.TS.</t>
  </si>
  <si>
    <t>Hiệp hội Sữa Việt Nam</t>
  </si>
  <si>
    <t>D04</t>
  </si>
  <si>
    <t>Ủy viên HĐ Đề cương 1 (Bắt buộc)</t>
  </si>
  <si>
    <t>D05</t>
  </si>
  <si>
    <t>Ủy viên HĐ Đề cương 2 (Bắt buộc)</t>
  </si>
  <si>
    <t>D06</t>
  </si>
  <si>
    <t>D07</t>
  </si>
  <si>
    <t>Ủy viên HĐ Đề cương 3 (Tùy chọn)</t>
  </si>
  <si>
    <t>D08</t>
  </si>
  <si>
    <t>Ủy viên HĐ Đề cương 4 (Tùy chọn)</t>
  </si>
  <si>
    <t>D09</t>
  </si>
  <si>
    <t>Thư ký HĐ Đề cương 1 (Bắt buộc)</t>
  </si>
  <si>
    <t>D10</t>
  </si>
  <si>
    <t>Thư ký HĐ Đề cương 2 (Bắt buộc)</t>
  </si>
  <si>
    <t>SEC_E</t>
  </si>
  <si>
    <t>PHẦN E: HỘI ĐỒNG ĐÁNH GIÁ NGHIỆM THU (HĐ 03 - 7 THÀNH VIÊN BẮT BUỘC)</t>
  </si>
  <si>
    <t>E01</t>
  </si>
  <si>
    <t>Chủ tịch HĐ Nghiệm thu (Bắt buộc)</t>
  </si>
  <si>
    <t>Phạm Văn Hoàn</t>
  </si>
  <si>
    <t>E02</t>
  </si>
  <si>
    <t>E03</t>
  </si>
  <si>
    <t>E04</t>
  </si>
  <si>
    <t>Ủy viên HĐ Nghiệm thu 1 (Bắt buộc)</t>
  </si>
  <si>
    <t>Ninh Thị Nhung</t>
  </si>
  <si>
    <t>Trường Đại học Y Dược Thái Bình</t>
  </si>
  <si>
    <t>E05</t>
  </si>
  <si>
    <t>Ủy viên HĐ Nghiệm thu 2 (Bắt buộc)</t>
  </si>
  <si>
    <t>Trần Văn Ơn</t>
  </si>
  <si>
    <t>Trường Đại học Dược Hà Nội</t>
  </si>
  <si>
    <t>E06</t>
  </si>
  <si>
    <t>E07</t>
  </si>
  <si>
    <t>Ủy viên HĐ Nghiệm thu 3 (Tùy chọn)</t>
  </si>
  <si>
    <t>E08</t>
  </si>
  <si>
    <t>Ủy viên HĐ Nghiệm thu 4 (Tùy chọn)</t>
  </si>
  <si>
    <t>E09</t>
  </si>
  <si>
    <t>Thư ký HĐ Nghiệm thu 1 (Bắt buộc)</t>
  </si>
  <si>
    <t>E10</t>
  </si>
  <si>
    <t>Thư ký HĐ Nghiệm thu 2 (Bắt buộc)</t>
  </si>
  <si>
    <t>SEC_F</t>
  </si>
  <si>
    <t>PHẦN F: LÝ LỊCH KHOA HỌC CHUYÊN GIA (CV CHỦ NHIỆM BẮT BUỘC &amp; CV THÀNH VIÊN TÙY CHỌN)</t>
  </si>
  <si>
    <t>F01</t>
  </si>
  <si>
    <t>Hồ sơ Chủ nhiệm đề tài (Bắt buộc - File mặc định cho HĐ Đạo đức)</t>
  </si>
  <si>
    <t>Chủ nhiệm đề tài</t>
  </si>
  <si>
    <t>Lý lịch khoa học-TruongHongSon.doc</t>
  </si>
  <si>
    <t>F02</t>
  </si>
  <si>
    <t>Hồ sơ Đồng Chủ nhiệm (Tùy chọn)</t>
  </si>
  <si>
    <t>F03</t>
  </si>
  <si>
    <t>Hồ sơ Thư ký Đề tài (Tùy chọn)</t>
  </si>
  <si>
    <t>Thư ký Đề tài</t>
  </si>
  <si>
    <t>Lý lịch khoa học_Liên Hương-2023.docx</t>
  </si>
  <si>
    <t>F04</t>
  </si>
  <si>
    <t>Hồ sơ Chuyên gia / Thành viên 4 (Tùy chọn)</t>
  </si>
  <si>
    <t>F05</t>
  </si>
  <si>
    <t>Hồ sơ Chuyên gia / Thành viên 5 (Tùy chọn)</t>
  </si>
  <si>
    <t>F06</t>
  </si>
  <si>
    <t>Hồ sơ Chuyên gia / Thành viên 6 (Tùy chọn)</t>
  </si>
  <si>
    <t>F07</t>
  </si>
  <si>
    <t>Hồ sơ Chuyên gia / Thành viên 7 (Tùy chọn)</t>
  </si>
  <si>
    <t>F08</t>
  </si>
  <si>
    <t>Hồ sơ Chuyên gia / Thành viên 8 (Tùy chọn)</t>
  </si>
  <si>
    <t>F09</t>
  </si>
  <si>
    <t>Hồ sơ Chuyên gia / Thành viên 9 (Tùy chọn)</t>
  </si>
  <si>
    <t>F10</t>
  </si>
  <si>
    <t>Hồ sơ Chuyên gia / Thành viên 10 (Tùy chọn)</t>
  </si>
  <si>
    <t>(Để trống tên theo quy định)</t>
  </si>
  <si>
    <t>Hoàng Hà Linh</t>
  </si>
  <si>
    <t>Trương Phan Hồng Hà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</si>
</sst>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5"/>
      <color indexed="9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1"/>
      <color indexed="9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3" borderId="0" xfId="0" applyFont="1" applyFill="1"/>
    <xf numFmtId="0" fontId="4" fillId="4" borderId="0" xfId="0" applyFont="1" applyFill="1"/>
    <xf numFmtId="0" fontId="0" fillId="5" borderId="0" xfId="0" applyFill="1"/>
    <xf numFmtId="0" fontId="2" fillId="2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3B394-31CC-4463-ADDF-F6DBE36C42F4}">
  <dimension ref="A1:F75"/>
  <sheetViews>
    <sheetView tabSelected="1" topLeftCell="C42" workbookViewId="0">
      <selection activeCell="E73" sqref="E73"/>
    </sheetView>
  </sheetViews>
  <sheetFormatPr defaultRowHeight="14.25" x14ac:dyDescent="0.2"/>
  <cols>
    <col min="1" max="1" width="8.5" bestFit="1" customWidth="1"/>
    <col min="2" max="2" width="94.125" bestFit="1" customWidth="1"/>
    <col min="3" max="3" width="66.375" bestFit="1" customWidth="1"/>
    <col min="4" max="4" width="31.125" bestFit="1" customWidth="1"/>
    <col min="5" max="5" width="48.125" bestFit="1" customWidth="1"/>
    <col min="6" max="6" width="40.5" bestFit="1" customWidth="1"/>
  </cols>
  <sheetData>
    <row r="1" spans="1:6" ht="19.5" x14ac:dyDescent="0.3">
      <c r="A1" s="4" t="s">
        <v>0</v>
      </c>
      <c r="B1" s="4"/>
      <c r="C1" s="4"/>
      <c r="D1" s="4"/>
      <c r="E1" s="4"/>
      <c r="F1" s="4"/>
    </row>
    <row r="2" spans="1:6" ht="15.75" x14ac:dyDescent="0.25">
      <c r="A2" s="5" t="str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>🎉 HOÀN THÀNH 100%: TẤT CẢ THÔNG TIN &amp; FILE CV CHUYÊN GIA ĐÃ ĐẦY ĐỦ - SẴN SÀNG CHẠY RA BỘ HỒ SƠ HOÀN CHỈNH</v>
      </c>
      <c r="B2" s="5"/>
      <c r="C2" s="5"/>
      <c r="D2" s="5"/>
      <c r="E2" s="5"/>
      <c r="F2" s="5"/>
    </row>
    <row r="4" spans="1:6" ht="15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</row>
    <row r="5" spans="1:6" ht="15" x14ac:dyDescent="0.25">
      <c r="A5" s="2" t="s">
        <v>7</v>
      </c>
      <c r="B5" s="2" t="s">
        <v>8</v>
      </c>
      <c r="C5" s="2"/>
      <c r="D5" s="2"/>
      <c r="E5" s="2"/>
      <c r="F5" s="2"/>
    </row>
    <row r="6" spans="1:6" x14ac:dyDescent="0.2">
      <c r="A6" t="s">
        <v>9</v>
      </c>
      <c r="B6" t="s">
        <v>10</v>
      </c>
      <c r="C6" s="3" t="s">
        <v>11</v>
      </c>
      <c r="D6" s="3"/>
      <c r="E6" s="3"/>
      <c r="F6" t="str">
        <f>IF(ISBLANK(C6), "❌ CHƯA ĐIỀN (BÁO LỖI)", "✅ Xong")</f>
        <v>✅ Xong</v>
      </c>
    </row>
    <row r="7" spans="1:6" x14ac:dyDescent="0.2">
      <c r="A7" t="s">
        <v>12</v>
      </c>
      <c r="B7" t="s">
        <v>13</v>
      </c>
      <c r="C7" s="3" t="s">
        <v>14</v>
      </c>
      <c r="D7" s="3"/>
      <c r="E7" s="3"/>
      <c r="F7" t="str">
        <f>IF(ISBLANK(C7), "❌ CHƯA ĐIỀN (BÁO LỖI)", "✅ Xong")</f>
        <v>✅ Xong</v>
      </c>
    </row>
    <row r="8" spans="1:6" x14ac:dyDescent="0.2">
      <c r="A8" t="s">
        <v>15</v>
      </c>
      <c r="B8" t="s">
        <v>16</v>
      </c>
      <c r="C8" s="3">
        <v>2027</v>
      </c>
      <c r="D8" s="3"/>
      <c r="E8" s="3"/>
      <c r="F8" t="str">
        <f>IF(ISBLANK(C8), "❌ CHƯA ĐIỀN (BÁO LỖI)", "✅ Xong")</f>
        <v>✅ Xong</v>
      </c>
    </row>
    <row r="9" spans="1:6" x14ac:dyDescent="0.2">
      <c r="A9" t="s">
        <v>17</v>
      </c>
      <c r="B9" t="s">
        <v>18</v>
      </c>
      <c r="C9" s="3" t="s">
        <v>19</v>
      </c>
      <c r="D9" s="3"/>
      <c r="E9" s="3"/>
      <c r="F9" t="str">
        <f>IF(ISBLANK(C9), "❌ CHƯA ĐIỀN (BÁO LỖI)", "✅ Xong")</f>
        <v>✅ Xong</v>
      </c>
    </row>
    <row r="10" spans="1:6" x14ac:dyDescent="0.2">
      <c r="A10" t="s">
        <v>20</v>
      </c>
      <c r="B10" t="s">
        <v>21</v>
      </c>
      <c r="C10" s="3" t="s">
        <v>22</v>
      </c>
      <c r="D10" s="3"/>
      <c r="E10" s="3"/>
      <c r="F10" t="str">
        <f>IF(ISBLANK(C10), "❌ CHƯA ĐIỀN (BÁO LỖI)", "✅ Xong")</f>
        <v>✅ Xong</v>
      </c>
    </row>
    <row r="11" spans="1:6" ht="15" x14ac:dyDescent="0.25">
      <c r="A11" s="2" t="s">
        <v>23</v>
      </c>
      <c r="B11" s="2" t="s">
        <v>24</v>
      </c>
      <c r="C11" s="2"/>
      <c r="D11" s="2"/>
      <c r="E11" s="2"/>
      <c r="F11" s="2"/>
    </row>
    <row r="12" spans="1:6" x14ac:dyDescent="0.2">
      <c r="A12" t="s">
        <v>25</v>
      </c>
      <c r="B12" t="s">
        <v>26</v>
      </c>
      <c r="C12" s="3" t="s">
        <v>27</v>
      </c>
      <c r="D12" s="3" t="s">
        <v>28</v>
      </c>
      <c r="E12" s="3" t="s">
        <v>29</v>
      </c>
      <c r="F12" t="str">
        <f>IF(ISBLANK(C12), "❌ CHƯA ĐIỀN (BÁO LỖI)", "✅ Xong")</f>
        <v>✅ Xong</v>
      </c>
    </row>
    <row r="13" spans="1:6" x14ac:dyDescent="0.2">
      <c r="A13" t="s">
        <v>30</v>
      </c>
      <c r="B13" t="s">
        <v>31</v>
      </c>
      <c r="F13" t="str">
        <f t="shared" ref="F13:F31" si="0">IF(ISBLANK(C13), "⚪ Tùy chọn (Trống)", "✅ Xong")</f>
        <v>⚪ Tùy chọn (Trống)</v>
      </c>
    </row>
    <row r="14" spans="1:6" x14ac:dyDescent="0.2">
      <c r="A14" t="s">
        <v>32</v>
      </c>
      <c r="B14" t="s">
        <v>33</v>
      </c>
      <c r="C14" t="s">
        <v>34</v>
      </c>
      <c r="D14" t="s">
        <v>35</v>
      </c>
      <c r="E14" t="s">
        <v>36</v>
      </c>
      <c r="F14" t="str">
        <f t="shared" si="0"/>
        <v>✅ Xong</v>
      </c>
    </row>
    <row r="15" spans="1:6" x14ac:dyDescent="0.2">
      <c r="A15" t="s">
        <v>37</v>
      </c>
      <c r="B15" t="s">
        <v>38</v>
      </c>
      <c r="C15" t="s">
        <v>39</v>
      </c>
      <c r="D15" t="s">
        <v>35</v>
      </c>
      <c r="E15" t="s">
        <v>36</v>
      </c>
      <c r="F15" t="str">
        <f t="shared" si="0"/>
        <v>✅ Xong</v>
      </c>
    </row>
    <row r="16" spans="1:6" x14ac:dyDescent="0.2">
      <c r="A16" t="s">
        <v>40</v>
      </c>
      <c r="B16" t="s">
        <v>41</v>
      </c>
      <c r="C16" t="s">
        <v>42</v>
      </c>
      <c r="D16" t="s">
        <v>43</v>
      </c>
      <c r="E16" t="s">
        <v>44</v>
      </c>
      <c r="F16" t="str">
        <f t="shared" si="0"/>
        <v>✅ Xong</v>
      </c>
    </row>
    <row r="17" spans="1:6" x14ac:dyDescent="0.2">
      <c r="A17" t="s">
        <v>45</v>
      </c>
      <c r="B17" t="s">
        <v>46</v>
      </c>
      <c r="F17" t="str">
        <f t="shared" si="0"/>
        <v>⚪ Tùy chọn (Trống)</v>
      </c>
    </row>
    <row r="18" spans="1:6" x14ac:dyDescent="0.2">
      <c r="A18" t="s">
        <v>47</v>
      </c>
      <c r="B18" t="s">
        <v>48</v>
      </c>
      <c r="F18" t="str">
        <f t="shared" si="0"/>
        <v>⚪ Tùy chọn (Trống)</v>
      </c>
    </row>
    <row r="19" spans="1:6" x14ac:dyDescent="0.2">
      <c r="A19" t="s">
        <v>49</v>
      </c>
      <c r="B19" t="s">
        <v>50</v>
      </c>
      <c r="F19" t="str">
        <f t="shared" si="0"/>
        <v>⚪ Tùy chọn (Trống)</v>
      </c>
    </row>
    <row r="20" spans="1:6" x14ac:dyDescent="0.2">
      <c r="A20" t="s">
        <v>51</v>
      </c>
      <c r="B20" t="s">
        <v>52</v>
      </c>
      <c r="F20" t="str">
        <f t="shared" si="0"/>
        <v>⚪ Tùy chọn (Trống)</v>
      </c>
    </row>
    <row r="21" spans="1:6" x14ac:dyDescent="0.2">
      <c r="A21" t="s">
        <v>53</v>
      </c>
      <c r="B21" t="s">
        <v>54</v>
      </c>
      <c r="F21" t="str">
        <f t="shared" si="0"/>
        <v>⚪ Tùy chọn (Trống)</v>
      </c>
    </row>
    <row r="22" spans="1:6" x14ac:dyDescent="0.2">
      <c r="A22" t="s">
        <v>55</v>
      </c>
      <c r="B22" t="s">
        <v>56</v>
      </c>
      <c r="F22" t="str">
        <f t="shared" si="0"/>
        <v>⚪ Tùy chọn (Trống)</v>
      </c>
    </row>
    <row r="23" spans="1:6" x14ac:dyDescent="0.2">
      <c r="A23" t="s">
        <v>57</v>
      </c>
      <c r="B23" t="s">
        <v>58</v>
      </c>
      <c r="F23" t="str">
        <f t="shared" si="0"/>
        <v>⚪ Tùy chọn (Trống)</v>
      </c>
    </row>
    <row r="24" spans="1:6" x14ac:dyDescent="0.2">
      <c r="A24" t="s">
        <v>59</v>
      </c>
      <c r="B24" t="s">
        <v>60</v>
      </c>
      <c r="F24" t="str">
        <f t="shared" si="0"/>
        <v>⚪ Tùy chọn (Trống)</v>
      </c>
    </row>
    <row r="25" spans="1:6" x14ac:dyDescent="0.2">
      <c r="A25" t="s">
        <v>61</v>
      </c>
      <c r="B25" t="s">
        <v>62</v>
      </c>
      <c r="F25" t="str">
        <f t="shared" si="0"/>
        <v>⚪ Tùy chọn (Trống)</v>
      </c>
    </row>
    <row r="26" spans="1:6" x14ac:dyDescent="0.2">
      <c r="A26" t="s">
        <v>63</v>
      </c>
      <c r="B26" t="s">
        <v>64</v>
      </c>
      <c r="F26" t="str">
        <f t="shared" si="0"/>
        <v>⚪ Tùy chọn (Trống)</v>
      </c>
    </row>
    <row r="27" spans="1:6" x14ac:dyDescent="0.2">
      <c r="A27" t="s">
        <v>65</v>
      </c>
      <c r="B27" t="s">
        <v>66</v>
      </c>
      <c r="F27" t="str">
        <f t="shared" si="0"/>
        <v>⚪ Tùy chọn (Trống)</v>
      </c>
    </row>
    <row r="28" spans="1:6" x14ac:dyDescent="0.2">
      <c r="A28" t="s">
        <v>67</v>
      </c>
      <c r="B28" t="s">
        <v>68</v>
      </c>
      <c r="F28" t="str">
        <f t="shared" si="0"/>
        <v>⚪ Tùy chọn (Trống)</v>
      </c>
    </row>
    <row r="29" spans="1:6" x14ac:dyDescent="0.2">
      <c r="A29" t="s">
        <v>69</v>
      </c>
      <c r="B29" t="s">
        <v>70</v>
      </c>
      <c r="F29" t="str">
        <f t="shared" si="0"/>
        <v>⚪ Tùy chọn (Trống)</v>
      </c>
    </row>
    <row r="30" spans="1:6" x14ac:dyDescent="0.2">
      <c r="A30" t="s">
        <v>71</v>
      </c>
      <c r="B30" t="s">
        <v>72</v>
      </c>
      <c r="F30" t="str">
        <f t="shared" si="0"/>
        <v>⚪ Tùy chọn (Trống)</v>
      </c>
    </row>
    <row r="31" spans="1:6" x14ac:dyDescent="0.2">
      <c r="A31" t="s">
        <v>73</v>
      </c>
      <c r="B31" t="s">
        <v>74</v>
      </c>
      <c r="F31" t="str">
        <f t="shared" si="0"/>
        <v>⚪ Tùy chọn (Trống)</v>
      </c>
    </row>
    <row r="32" spans="1:6" ht="15" x14ac:dyDescent="0.25">
      <c r="A32" s="2" t="s">
        <v>75</v>
      </c>
      <c r="B32" s="2" t="s">
        <v>76</v>
      </c>
      <c r="C32" s="2"/>
      <c r="D32" s="2"/>
      <c r="E32" s="2"/>
      <c r="F32" s="2"/>
    </row>
    <row r="33" spans="1:6" x14ac:dyDescent="0.2">
      <c r="A33" t="s">
        <v>77</v>
      </c>
      <c r="B33" t="s">
        <v>78</v>
      </c>
      <c r="C33" s="3" t="s">
        <v>79</v>
      </c>
      <c r="D33" s="3" t="s">
        <v>80</v>
      </c>
      <c r="E33" s="3" t="s">
        <v>81</v>
      </c>
      <c r="F33" t="str">
        <f>IF(ISBLANK(C33), "❌ CHƯA ĐIỀN (BÁO LỖI)", "✅ Xong")</f>
        <v>✅ Xong</v>
      </c>
    </row>
    <row r="34" spans="1:6" x14ac:dyDescent="0.2">
      <c r="A34" t="s">
        <v>82</v>
      </c>
      <c r="B34" t="s">
        <v>83</v>
      </c>
      <c r="C34" s="3" t="s">
        <v>84</v>
      </c>
      <c r="D34" s="3" t="s">
        <v>85</v>
      </c>
      <c r="E34" s="3" t="s">
        <v>86</v>
      </c>
      <c r="F34" t="str">
        <f>IF(ISBLANK(C34), "❌ CHƯA ĐIỀN (BÁO LỖI)", "✅ Xong")</f>
        <v>✅ Xong</v>
      </c>
    </row>
    <row r="35" spans="1:6" x14ac:dyDescent="0.2">
      <c r="A35" t="s">
        <v>87</v>
      </c>
      <c r="B35" t="s">
        <v>88</v>
      </c>
      <c r="C35" s="3" t="s">
        <v>89</v>
      </c>
      <c r="D35" s="3" t="s">
        <v>85</v>
      </c>
      <c r="E35" s="3" t="s">
        <v>90</v>
      </c>
      <c r="F35" t="str">
        <f>IF(ISBLANK(C35), "❌ CHƯA ĐIỀN (BÁO LỖI)", "✅ Xong")</f>
        <v>✅ Xong</v>
      </c>
    </row>
    <row r="36" spans="1:6" x14ac:dyDescent="0.2">
      <c r="A36" t="s">
        <v>91</v>
      </c>
      <c r="B36" t="s">
        <v>92</v>
      </c>
      <c r="C36" s="3" t="s">
        <v>93</v>
      </c>
      <c r="D36" s="3" t="s">
        <v>85</v>
      </c>
      <c r="E36" s="3" t="s">
        <v>90</v>
      </c>
      <c r="F36" t="str">
        <f>IF(ISBLANK(C36), "❌ CHƯA ĐIỀN (BÁO LỖI)", "✅ Xong")</f>
        <v>✅ Xong</v>
      </c>
    </row>
    <row r="37" spans="1:6" x14ac:dyDescent="0.2">
      <c r="A37" t="s">
        <v>94</v>
      </c>
      <c r="B37" t="s">
        <v>95</v>
      </c>
      <c r="C37" s="3" t="s">
        <v>96</v>
      </c>
      <c r="D37" s="3" t="s">
        <v>85</v>
      </c>
      <c r="E37" s="3" t="s">
        <v>97</v>
      </c>
      <c r="F37" t="str">
        <f>IF(ISBLANK(C37), "❌ CHƯA ĐIỀN (BÁO LỖI)", "✅ Xong")</f>
        <v>✅ Xong</v>
      </c>
    </row>
    <row r="38" spans="1:6" x14ac:dyDescent="0.2">
      <c r="A38" t="s">
        <v>98</v>
      </c>
      <c r="B38" t="s">
        <v>99</v>
      </c>
      <c r="F38" t="str">
        <f>IF(ISBLANK(C38), "⚪ Tùy chọn (Trống)", "✅ Xong")</f>
        <v>⚪ Tùy chọn (Trống)</v>
      </c>
    </row>
    <row r="39" spans="1:6" x14ac:dyDescent="0.2">
      <c r="A39" t="s">
        <v>100</v>
      </c>
      <c r="B39" t="s">
        <v>101</v>
      </c>
      <c r="F39" t="str">
        <f>IF(ISBLANK(C39), "⚪ Tùy chọn (Trống)", "✅ Xong")</f>
        <v>⚪ Tùy chọn (Trống)</v>
      </c>
    </row>
    <row r="40" spans="1:6" x14ac:dyDescent="0.2">
      <c r="A40" t="s">
        <v>102</v>
      </c>
      <c r="B40" t="s">
        <v>103</v>
      </c>
      <c r="F40" t="str">
        <f>IF(ISBLANK(C40), "⚪ Tùy chọn (Trống)", "✅ Xong")</f>
        <v>⚪ Tùy chọn (Trống)</v>
      </c>
    </row>
    <row r="41" spans="1:6" x14ac:dyDescent="0.2">
      <c r="A41" t="s">
        <v>104</v>
      </c>
      <c r="B41" t="s">
        <v>105</v>
      </c>
      <c r="C41" s="3" t="s">
        <v>181</v>
      </c>
      <c r="D41" s="3" t="s">
        <v>35</v>
      </c>
      <c r="E41" s="3" t="s">
        <v>36</v>
      </c>
      <c r="F41" t="str">
        <f>IF(ISBLANK(C41), "❌ CHƯA ĐIỀN (BÁO LỖI)", "✅ Xong")</f>
        <v>✅ Xong</v>
      </c>
    </row>
    <row r="42" spans="1:6" x14ac:dyDescent="0.2">
      <c r="A42" t="s">
        <v>106</v>
      </c>
      <c r="B42" t="s">
        <v>107</v>
      </c>
      <c r="C42" s="3" t="s">
        <v>182</v>
      </c>
      <c r="D42" s="3" t="s">
        <v>35</v>
      </c>
      <c r="E42" s="3" t="s">
        <v>86</v>
      </c>
      <c r="F42" t="str">
        <f>IF(ISBLANK(C42), "❌ CHƯA ĐIỀN (BÁO LỖI)", "✅ Xong")</f>
        <v>✅ Xong</v>
      </c>
    </row>
    <row r="43" spans="1:6" ht="15" x14ac:dyDescent="0.25">
      <c r="A43" s="2" t="s">
        <v>108</v>
      </c>
      <c r="B43" s="2" t="s">
        <v>109</v>
      </c>
      <c r="C43" s="2"/>
      <c r="D43" s="2"/>
      <c r="E43" s="2"/>
      <c r="F43" s="2"/>
    </row>
    <row r="44" spans="1:6" x14ac:dyDescent="0.2">
      <c r="A44" t="s">
        <v>110</v>
      </c>
      <c r="B44" t="s">
        <v>111</v>
      </c>
      <c r="C44" s="3" t="s">
        <v>79</v>
      </c>
      <c r="D44" s="3" t="s">
        <v>80</v>
      </c>
      <c r="E44" s="3" t="s">
        <v>81</v>
      </c>
      <c r="F44" t="str">
        <f>IF(ISBLANK(C44), "❌ CHƯA ĐIỀN (BÁO LỖI)", "✅ Xong")</f>
        <v>✅ Xong</v>
      </c>
    </row>
    <row r="45" spans="1:6" x14ac:dyDescent="0.2">
      <c r="A45" t="s">
        <v>112</v>
      </c>
      <c r="B45" t="s">
        <v>83</v>
      </c>
      <c r="C45" s="3" t="s">
        <v>84</v>
      </c>
      <c r="D45" s="3" t="s">
        <v>85</v>
      </c>
      <c r="E45" s="3" t="s">
        <v>86</v>
      </c>
      <c r="F45" t="str">
        <f>IF(ISBLANK(C45), "❌ CHƯA ĐIỀN (BÁO LỖI)", "✅ Xong")</f>
        <v>✅ Xong</v>
      </c>
    </row>
    <row r="46" spans="1:6" x14ac:dyDescent="0.2">
      <c r="A46" t="s">
        <v>113</v>
      </c>
      <c r="B46" t="s">
        <v>88</v>
      </c>
      <c r="C46" s="3" t="s">
        <v>114</v>
      </c>
      <c r="D46" s="3" t="s">
        <v>115</v>
      </c>
      <c r="E46" s="3" t="s">
        <v>116</v>
      </c>
      <c r="F46" t="str">
        <f>IF(ISBLANK(C46), "❌ CHƯA ĐIỀN (BÁO LỖI)", "✅ Xong")</f>
        <v>✅ Xong</v>
      </c>
    </row>
    <row r="47" spans="1:6" x14ac:dyDescent="0.2">
      <c r="A47" t="s">
        <v>117</v>
      </c>
      <c r="B47" t="s">
        <v>118</v>
      </c>
      <c r="C47" s="3" t="s">
        <v>89</v>
      </c>
      <c r="D47" s="3" t="s">
        <v>85</v>
      </c>
      <c r="E47" s="3" t="s">
        <v>90</v>
      </c>
      <c r="F47" t="str">
        <f>IF(ISBLANK(C47), "❌ CHƯA ĐIỀN (BÁO LỖI)", "✅ Xong")</f>
        <v>✅ Xong</v>
      </c>
    </row>
    <row r="48" spans="1:6" x14ac:dyDescent="0.2">
      <c r="A48" t="s">
        <v>119</v>
      </c>
      <c r="B48" t="s">
        <v>120</v>
      </c>
      <c r="C48" s="3" t="s">
        <v>93</v>
      </c>
      <c r="D48" s="3" t="s">
        <v>85</v>
      </c>
      <c r="E48" s="3" t="s">
        <v>90</v>
      </c>
      <c r="F48" t="str">
        <f>IF(ISBLANK(C48), "❌ CHƯA ĐIỀN (BÁO LỖI)", "✅ Xong")</f>
        <v>✅ Xong</v>
      </c>
    </row>
    <row r="49" spans="1:6" x14ac:dyDescent="0.2">
      <c r="A49" t="s">
        <v>121</v>
      </c>
      <c r="B49" t="s">
        <v>99</v>
      </c>
      <c r="F49" t="str">
        <f>IF(ISBLANK(C49), "⚪ Tùy chọn (Trống)", "✅ Xong")</f>
        <v>⚪ Tùy chọn (Trống)</v>
      </c>
    </row>
    <row r="50" spans="1:6" x14ac:dyDescent="0.2">
      <c r="A50" t="s">
        <v>122</v>
      </c>
      <c r="B50" t="s">
        <v>123</v>
      </c>
      <c r="F50" t="str">
        <f>IF(ISBLANK(C50), "⚪ Tùy chọn (Trống)", "✅ Xong")</f>
        <v>⚪ Tùy chọn (Trống)</v>
      </c>
    </row>
    <row r="51" spans="1:6" x14ac:dyDescent="0.2">
      <c r="A51" t="s">
        <v>124</v>
      </c>
      <c r="B51" t="s">
        <v>125</v>
      </c>
      <c r="F51" t="str">
        <f>IF(ISBLANK(C51), "⚪ Tùy chọn (Trống)", "✅ Xong")</f>
        <v>⚪ Tùy chọn (Trống)</v>
      </c>
    </row>
    <row r="52" spans="1:6" x14ac:dyDescent="0.2">
      <c r="A52" t="s">
        <v>126</v>
      </c>
      <c r="B52" t="s">
        <v>127</v>
      </c>
      <c r="C52" s="3" t="s">
        <v>181</v>
      </c>
      <c r="D52" s="3" t="s">
        <v>35</v>
      </c>
      <c r="E52" s="3" t="s">
        <v>36</v>
      </c>
      <c r="F52" t="str">
        <f>IF(ISBLANK(C52), "❌ CHƯA ĐIỀN (BÁO LỖI)", "✅ Xong")</f>
        <v>✅ Xong</v>
      </c>
    </row>
    <row r="53" spans="1:6" x14ac:dyDescent="0.2">
      <c r="A53" t="s">
        <v>128</v>
      </c>
      <c r="B53" t="s">
        <v>129</v>
      </c>
      <c r="C53" s="3" t="s">
        <v>182</v>
      </c>
      <c r="D53" s="3" t="s">
        <v>35</v>
      </c>
      <c r="E53" s="3" t="s">
        <v>86</v>
      </c>
      <c r="F53" t="str">
        <f>IF(ISBLANK(C53), "❌ CHƯA ĐIỀN (BÁO LỖI)", "✅ Xong")</f>
        <v>✅ Xong</v>
      </c>
    </row>
    <row r="54" spans="1:6" ht="15" x14ac:dyDescent="0.25">
      <c r="A54" s="2" t="s">
        <v>130</v>
      </c>
      <c r="B54" s="2" t="s">
        <v>131</v>
      </c>
      <c r="C54" s="2"/>
      <c r="D54" s="2"/>
      <c r="E54" s="2"/>
      <c r="F54" s="2"/>
    </row>
    <row r="55" spans="1:6" x14ac:dyDescent="0.2">
      <c r="A55" t="s">
        <v>132</v>
      </c>
      <c r="B55" t="s">
        <v>133</v>
      </c>
      <c r="C55" s="3" t="s">
        <v>134</v>
      </c>
      <c r="D55" s="3" t="s">
        <v>115</v>
      </c>
      <c r="E55" s="3" t="s">
        <v>86</v>
      </c>
      <c r="F55" t="str">
        <f>IF(ISBLANK(C55), "❌ CHƯA ĐIỀN (BÁO LỖI)", "✅ Xong")</f>
        <v>✅ Xong</v>
      </c>
    </row>
    <row r="56" spans="1:6" x14ac:dyDescent="0.2">
      <c r="A56" t="s">
        <v>135</v>
      </c>
      <c r="B56" t="s">
        <v>83</v>
      </c>
      <c r="C56" s="3" t="s">
        <v>79</v>
      </c>
      <c r="D56" s="3" t="s">
        <v>80</v>
      </c>
      <c r="E56" s="3" t="s">
        <v>81</v>
      </c>
      <c r="F56" t="str">
        <f>IF(ISBLANK(C56), "❌ CHƯA ĐIỀN (BÁO LỖI)", "✅ Xong")</f>
        <v>✅ Xong</v>
      </c>
    </row>
    <row r="57" spans="1:6" x14ac:dyDescent="0.2">
      <c r="A57" t="s">
        <v>136</v>
      </c>
      <c r="B57" t="s">
        <v>88</v>
      </c>
      <c r="C57" s="3" t="s">
        <v>93</v>
      </c>
      <c r="D57" s="3" t="s">
        <v>85</v>
      </c>
      <c r="E57" s="3" t="s">
        <v>90</v>
      </c>
      <c r="F57" t="str">
        <f>IF(ISBLANK(C57), "❌ CHƯA ĐIỀN (BÁO LỖI)", "✅ Xong")</f>
        <v>✅ Xong</v>
      </c>
    </row>
    <row r="58" spans="1:6" x14ac:dyDescent="0.2">
      <c r="A58" t="s">
        <v>137</v>
      </c>
      <c r="B58" t="s">
        <v>138</v>
      </c>
      <c r="C58" s="3" t="s">
        <v>139</v>
      </c>
      <c r="D58" s="3" t="s">
        <v>115</v>
      </c>
      <c r="E58" s="3" t="s">
        <v>140</v>
      </c>
      <c r="F58" t="str">
        <f>IF(ISBLANK(C58), "❌ CHƯA ĐIỀN (BÁO LỖI)", "✅ Xong")</f>
        <v>✅ Xong</v>
      </c>
    </row>
    <row r="59" spans="1:6" x14ac:dyDescent="0.2">
      <c r="A59" t="s">
        <v>141</v>
      </c>
      <c r="B59" t="s">
        <v>142</v>
      </c>
      <c r="C59" s="3" t="s">
        <v>143</v>
      </c>
      <c r="D59" s="3" t="s">
        <v>115</v>
      </c>
      <c r="E59" s="3" t="s">
        <v>144</v>
      </c>
      <c r="F59" t="str">
        <f>IF(ISBLANK(C59), "❌ CHƯA ĐIỀN (BÁO LỖI)", "✅ Xong")</f>
        <v>✅ Xong</v>
      </c>
    </row>
    <row r="60" spans="1:6" x14ac:dyDescent="0.2">
      <c r="A60" t="s">
        <v>145</v>
      </c>
      <c r="B60" t="s">
        <v>99</v>
      </c>
      <c r="F60" t="str">
        <f>IF(ISBLANK(C60), "⚪ Tùy chọn (Trống)", "✅ Xong")</f>
        <v>⚪ Tùy chọn (Trống)</v>
      </c>
    </row>
    <row r="61" spans="1:6" x14ac:dyDescent="0.2">
      <c r="A61" t="s">
        <v>146</v>
      </c>
      <c r="B61" t="s">
        <v>147</v>
      </c>
      <c r="F61" t="str">
        <f>IF(ISBLANK(C61), "⚪ Tùy chọn (Trống)", "✅ Xong")</f>
        <v>⚪ Tùy chọn (Trống)</v>
      </c>
    </row>
    <row r="62" spans="1:6" x14ac:dyDescent="0.2">
      <c r="A62" t="s">
        <v>148</v>
      </c>
      <c r="B62" t="s">
        <v>149</v>
      </c>
      <c r="F62" t="str">
        <f>IF(ISBLANK(C62), "⚪ Tùy chọn (Trống)", "✅ Xong")</f>
        <v>⚪ Tùy chọn (Trống)</v>
      </c>
    </row>
    <row r="63" spans="1:6" x14ac:dyDescent="0.2">
      <c r="A63" t="s">
        <v>150</v>
      </c>
      <c r="B63" t="s">
        <v>151</v>
      </c>
      <c r="C63" s="3" t="s">
        <v>181</v>
      </c>
      <c r="D63" s="3" t="s">
        <v>85</v>
      </c>
      <c r="E63" s="3" t="s">
        <v>86</v>
      </c>
      <c r="F63" t="str">
        <f>IF(ISBLANK(C63), "❌ CHƯA ĐIỀN (BÁO LỖI)", "✅ Xong")</f>
        <v>✅ Xong</v>
      </c>
    </row>
    <row r="64" spans="1:6" x14ac:dyDescent="0.2">
      <c r="A64" t="s">
        <v>152</v>
      </c>
      <c r="B64" t="s">
        <v>153</v>
      </c>
      <c r="C64" s="3" t="s">
        <v>182</v>
      </c>
      <c r="D64" s="3" t="s">
        <v>35</v>
      </c>
      <c r="E64" s="3" t="s">
        <v>86</v>
      </c>
      <c r="F64" t="str">
        <f>IF(ISBLANK(C64), "❌ CHƯA ĐIỀN (BÁO LỖI)", "✅ Xong")</f>
        <v>✅ Xong</v>
      </c>
    </row>
    <row r="65" spans="1:6" ht="15" x14ac:dyDescent="0.25">
      <c r="A65" s="2" t="s">
        <v>154</v>
      </c>
      <c r="B65" s="2" t="s">
        <v>155</v>
      </c>
      <c r="C65" s="2"/>
      <c r="D65" s="2"/>
      <c r="E65" s="2"/>
      <c r="F65" s="2"/>
    </row>
    <row r="66" spans="1:6" x14ac:dyDescent="0.2">
      <c r="A66" t="s">
        <v>156</v>
      </c>
      <c r="B66" t="s">
        <v>157</v>
      </c>
      <c r="C66" s="3" t="s">
        <v>27</v>
      </c>
      <c r="D66" s="3" t="s">
        <v>158</v>
      </c>
      <c r="E66" s="3" t="s">
        <v>159</v>
      </c>
      <c r="F66" t="str">
        <f>IF(ISBLANK(C66), "❌ CHƯA ĐIỀN THÔNG TIN CNĐT (BÁO LỖI)", IF(OR(ISBLANK(D66), ISBLANK(E66)), "❌ BÁO LỖI: CHƯA CÓ FILE CV TRONG THƯ MỤC KIỂM TRA (VUI LÒNG BỔ SUNG)", "✅ Đã kiểm tra &amp; liên kết CV Mặc định Đạo đức"))</f>
        <v>✅ Đã kiểm tra &amp; liên kết CV Mặc định Đạo đức</v>
      </c>
    </row>
    <row r="67" spans="1:6" x14ac:dyDescent="0.2">
      <c r="A67" t="s">
        <v>160</v>
      </c>
      <c r="B67" t="s">
        <v>161</v>
      </c>
      <c r="F67" t="str">
        <f t="shared" ref="F67:F75" si="1">IF(ISBLANK(C67), "⚪ Tùy chọn (Trống)", IF(OR(ISBLANK(D67), ISBLANK(E67)), "❌ BÁO LỖI: CHƯA CÓ FILE CV TRONG THƯ MỤC KIỂM TRA (VUI LÒNG BỔ SUNG)", "✅ Đã kiểm tra &amp; liên kết CV"))</f>
        <v>⚪ Tùy chọn (Trống)</v>
      </c>
    </row>
    <row r="68" spans="1:6" x14ac:dyDescent="0.2">
      <c r="A68" t="s">
        <v>162</v>
      </c>
      <c r="B68" t="s">
        <v>163</v>
      </c>
      <c r="C68" t="s">
        <v>34</v>
      </c>
      <c r="D68" t="s">
        <v>164</v>
      </c>
      <c r="E68" t="s">
        <v>165</v>
      </c>
      <c r="F68" t="str">
        <f t="shared" si="1"/>
        <v>✅ Đã kiểm tra &amp; liên kết CV</v>
      </c>
    </row>
    <row r="69" spans="1:6" x14ac:dyDescent="0.2">
      <c r="A69" t="s">
        <v>166</v>
      </c>
      <c r="B69" t="s">
        <v>167</v>
      </c>
      <c r="F69" t="str">
        <f t="shared" si="1"/>
        <v>⚪ Tùy chọn (Trống)</v>
      </c>
    </row>
    <row r="70" spans="1:6" x14ac:dyDescent="0.2">
      <c r="A70" t="s">
        <v>168</v>
      </c>
      <c r="B70" t="s">
        <v>169</v>
      </c>
      <c r="F70" t="str">
        <f t="shared" si="1"/>
        <v>⚪ Tùy chọn (Trống)</v>
      </c>
    </row>
    <row r="71" spans="1:6" x14ac:dyDescent="0.2">
      <c r="A71" t="s">
        <v>170</v>
      </c>
      <c r="B71" t="s">
        <v>171</v>
      </c>
      <c r="F71" t="str">
        <f t="shared" si="1"/>
        <v>⚪ Tùy chọn (Trống)</v>
      </c>
    </row>
    <row r="72" spans="1:6" x14ac:dyDescent="0.2">
      <c r="A72" t="s">
        <v>172</v>
      </c>
      <c r="B72" t="s">
        <v>173</v>
      </c>
      <c r="F72" t="str">
        <f t="shared" si="1"/>
        <v>⚪ Tùy chọn (Trống)</v>
      </c>
    </row>
    <row r="73" spans="1:6" x14ac:dyDescent="0.2">
      <c r="A73" t="s">
        <v>174</v>
      </c>
      <c r="B73" t="s">
        <v>175</v>
      </c>
      <c r="F73" t="str">
        <f t="shared" si="1"/>
        <v>⚪ Tùy chọn (Trống)</v>
      </c>
    </row>
    <row r="74" spans="1:6" x14ac:dyDescent="0.2">
      <c r="A74" t="s">
        <v>176</v>
      </c>
      <c r="B74" t="s">
        <v>177</v>
      </c>
      <c r="F74" t="str">
        <f t="shared" si="1"/>
        <v>⚪ Tùy chọn (Trống)</v>
      </c>
    </row>
    <row r="75" spans="1:6" x14ac:dyDescent="0.2">
      <c r="A75" t="s">
        <v>178</v>
      </c>
      <c r="B75" t="s">
        <v>179</v>
      </c>
      <c r="F75" t="str">
        <f t="shared" si="1"/>
        <v>⚪ Tùy chọn (Trống)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F6D7A-1A18-45E7-B09C-0C62B5E5D4C8}">
  <dimension ref="A1:F75"/>
  <sheetViews>
    <sheetView workbookViewId="0">
      <selection sqref="A1:F1"/>
    </sheetView>
  </sheetViews>
  <sheetFormatPr defaultRowHeight="14.25" x14ac:dyDescent="0.2"/>
  <cols>
    <col min="1" max="1" width="8.5" bestFit="1" customWidth="1"/>
    <col min="2" max="2" width="94.125" bestFit="1" customWidth="1"/>
    <col min="3" max="3" width="66.375" bestFit="1" customWidth="1"/>
    <col min="4" max="4" width="31.125" bestFit="1" customWidth="1"/>
    <col min="5" max="5" width="48.125" bestFit="1" customWidth="1"/>
    <col min="6" max="6" width="39.875" bestFit="1" customWidth="1"/>
  </cols>
  <sheetData>
    <row r="1" spans="1:6" ht="19.5" x14ac:dyDescent="0.3">
      <c r="A1" s="4" t="s">
        <v>0</v>
      </c>
      <c r="B1" s="4"/>
      <c r="C1" s="4"/>
      <c r="D1" s="4"/>
      <c r="E1" s="4"/>
      <c r="F1" s="4"/>
    </row>
    <row r="2" spans="1:6" ht="15.75" x14ac:dyDescent="0.25">
      <c r="A2" s="5" t="str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>⚠️ BÁO LỖI: PHÁT HIỆN CHƯA CÓ FILE CV CHUYÊN GIA HOẶC THIẾU THÔNG TIN BẮT BUỘC - VUI LÒNG BỔ SUNG CÁC Ô MÀU ĐỎ DƯỚI ĐÂY</v>
      </c>
      <c r="B2" s="5"/>
      <c r="C2" s="5"/>
      <c r="D2" s="5"/>
      <c r="E2" s="5"/>
      <c r="F2" s="5"/>
    </row>
    <row r="4" spans="1:6" ht="15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</row>
    <row r="5" spans="1:6" ht="15" x14ac:dyDescent="0.25">
      <c r="A5" s="2" t="s">
        <v>7</v>
      </c>
      <c r="B5" s="2" t="s">
        <v>8</v>
      </c>
      <c r="C5" s="2"/>
      <c r="D5" s="2"/>
      <c r="E5" s="2"/>
      <c r="F5" s="2"/>
    </row>
    <row r="6" spans="1:6" x14ac:dyDescent="0.2">
      <c r="A6" t="s">
        <v>9</v>
      </c>
      <c r="B6" t="s">
        <v>10</v>
      </c>
      <c r="C6" s="3"/>
      <c r="D6" s="3"/>
      <c r="E6" s="3"/>
      <c r="F6" t="str">
        <f>IF(ISBLANK(C6), "❌ CHƯA ĐIỀN (BÁO LỖI)", "✅ Xong")</f>
        <v>❌ CHƯA ĐIỀN (BÁO LỖI)</v>
      </c>
    </row>
    <row r="7" spans="1:6" x14ac:dyDescent="0.2">
      <c r="A7" t="s">
        <v>12</v>
      </c>
      <c r="B7" t="s">
        <v>13</v>
      </c>
      <c r="C7" s="3"/>
      <c r="D7" s="3"/>
      <c r="E7" s="3"/>
      <c r="F7" t="str">
        <f>IF(ISBLANK(C7), "❌ CHƯA ĐIỀN (BÁO LỖI)", "✅ Xong")</f>
        <v>❌ CHƯA ĐIỀN (BÁO LỖI)</v>
      </c>
    </row>
    <row r="8" spans="1:6" x14ac:dyDescent="0.2">
      <c r="A8" t="s">
        <v>15</v>
      </c>
      <c r="B8" t="s">
        <v>16</v>
      </c>
      <c r="C8" s="3"/>
      <c r="D8" s="3"/>
      <c r="E8" s="3"/>
      <c r="F8" t="str">
        <f>IF(ISBLANK(C8), "❌ CHƯA ĐIỀN (BÁO LỖI)", "✅ Xong")</f>
        <v>❌ CHƯA ĐIỀN (BÁO LỖI)</v>
      </c>
    </row>
    <row r="9" spans="1:6" x14ac:dyDescent="0.2">
      <c r="A9" t="s">
        <v>17</v>
      </c>
      <c r="B9" t="s">
        <v>18</v>
      </c>
      <c r="C9" s="3"/>
      <c r="D9" s="3"/>
      <c r="E9" s="3"/>
      <c r="F9" t="str">
        <f>IF(ISBLANK(C9), "❌ CHƯA ĐIỀN (BÁO LỖI)", "✅ Xong")</f>
        <v>❌ CHƯA ĐIỀN (BÁO LỖI)</v>
      </c>
    </row>
    <row r="10" spans="1:6" x14ac:dyDescent="0.2">
      <c r="A10" t="s">
        <v>20</v>
      </c>
      <c r="B10" t="s">
        <v>21</v>
      </c>
      <c r="C10" s="3"/>
      <c r="D10" s="3"/>
      <c r="E10" s="3"/>
      <c r="F10" t="str">
        <f>IF(ISBLANK(C10), "❌ CHƯA ĐIỀN (BÁO LỖI)", "✅ Xong")</f>
        <v>❌ CHƯA ĐIỀN (BÁO LỖI)</v>
      </c>
    </row>
    <row r="11" spans="1:6" ht="15" x14ac:dyDescent="0.25">
      <c r="A11" s="2" t="s">
        <v>23</v>
      </c>
      <c r="B11" s="2" t="s">
        <v>24</v>
      </c>
      <c r="C11" s="2"/>
      <c r="D11" s="2"/>
      <c r="E11" s="2"/>
      <c r="F11" s="2"/>
    </row>
    <row r="12" spans="1:6" x14ac:dyDescent="0.2">
      <c r="A12" t="s">
        <v>25</v>
      </c>
      <c r="B12" t="s">
        <v>26</v>
      </c>
      <c r="C12" s="3"/>
      <c r="D12" s="3"/>
      <c r="E12" s="3"/>
      <c r="F12" t="str">
        <f>IF(ISBLANK(C12), "❌ CHƯA ĐIỀN (BÁO LỖI)", "✅ Xong")</f>
        <v>❌ CHƯA ĐIỀN (BÁO LỖI)</v>
      </c>
    </row>
    <row r="13" spans="1:6" x14ac:dyDescent="0.2">
      <c r="A13" t="s">
        <v>30</v>
      </c>
      <c r="B13" t="s">
        <v>31</v>
      </c>
      <c r="F13" t="str">
        <f t="shared" ref="F13:F31" si="0">IF(ISBLANK(C13), "⚪ Tùy chọn (Trống)", "✅ Xong")</f>
        <v>⚪ Tùy chọn (Trống)</v>
      </c>
    </row>
    <row r="14" spans="1:6" x14ac:dyDescent="0.2">
      <c r="A14" t="s">
        <v>32</v>
      </c>
      <c r="B14" t="s">
        <v>33</v>
      </c>
      <c r="F14" t="str">
        <f t="shared" si="0"/>
        <v>⚪ Tùy chọn (Trống)</v>
      </c>
    </row>
    <row r="15" spans="1:6" x14ac:dyDescent="0.2">
      <c r="A15" t="s">
        <v>37</v>
      </c>
      <c r="B15" t="s">
        <v>38</v>
      </c>
      <c r="F15" t="str">
        <f t="shared" si="0"/>
        <v>⚪ Tùy chọn (Trống)</v>
      </c>
    </row>
    <row r="16" spans="1:6" x14ac:dyDescent="0.2">
      <c r="A16" t="s">
        <v>40</v>
      </c>
      <c r="B16" t="s">
        <v>41</v>
      </c>
      <c r="F16" t="str">
        <f t="shared" si="0"/>
        <v>⚪ Tùy chọn (Trống)</v>
      </c>
    </row>
    <row r="17" spans="1:6" x14ac:dyDescent="0.2">
      <c r="A17" t="s">
        <v>45</v>
      </c>
      <c r="B17" t="s">
        <v>46</v>
      </c>
      <c r="F17" t="str">
        <f t="shared" si="0"/>
        <v>⚪ Tùy chọn (Trống)</v>
      </c>
    </row>
    <row r="18" spans="1:6" x14ac:dyDescent="0.2">
      <c r="A18" t="s">
        <v>47</v>
      </c>
      <c r="B18" t="s">
        <v>48</v>
      </c>
      <c r="F18" t="str">
        <f t="shared" si="0"/>
        <v>⚪ Tùy chọn (Trống)</v>
      </c>
    </row>
    <row r="19" spans="1:6" x14ac:dyDescent="0.2">
      <c r="A19" t="s">
        <v>49</v>
      </c>
      <c r="B19" t="s">
        <v>50</v>
      </c>
      <c r="F19" t="str">
        <f t="shared" si="0"/>
        <v>⚪ Tùy chọn (Trống)</v>
      </c>
    </row>
    <row r="20" spans="1:6" x14ac:dyDescent="0.2">
      <c r="A20" t="s">
        <v>51</v>
      </c>
      <c r="B20" t="s">
        <v>52</v>
      </c>
      <c r="F20" t="str">
        <f t="shared" si="0"/>
        <v>⚪ Tùy chọn (Trống)</v>
      </c>
    </row>
    <row r="21" spans="1:6" x14ac:dyDescent="0.2">
      <c r="A21" t="s">
        <v>53</v>
      </c>
      <c r="B21" t="s">
        <v>54</v>
      </c>
      <c r="F21" t="str">
        <f t="shared" si="0"/>
        <v>⚪ Tùy chọn (Trống)</v>
      </c>
    </row>
    <row r="22" spans="1:6" x14ac:dyDescent="0.2">
      <c r="A22" t="s">
        <v>55</v>
      </c>
      <c r="B22" t="s">
        <v>56</v>
      </c>
      <c r="F22" t="str">
        <f t="shared" si="0"/>
        <v>⚪ Tùy chọn (Trống)</v>
      </c>
    </row>
    <row r="23" spans="1:6" x14ac:dyDescent="0.2">
      <c r="A23" t="s">
        <v>57</v>
      </c>
      <c r="B23" t="s">
        <v>58</v>
      </c>
      <c r="F23" t="str">
        <f t="shared" si="0"/>
        <v>⚪ Tùy chọn (Trống)</v>
      </c>
    </row>
    <row r="24" spans="1:6" x14ac:dyDescent="0.2">
      <c r="A24" t="s">
        <v>59</v>
      </c>
      <c r="B24" t="s">
        <v>60</v>
      </c>
      <c r="F24" t="str">
        <f t="shared" si="0"/>
        <v>⚪ Tùy chọn (Trống)</v>
      </c>
    </row>
    <row r="25" spans="1:6" x14ac:dyDescent="0.2">
      <c r="A25" t="s">
        <v>61</v>
      </c>
      <c r="B25" t="s">
        <v>62</v>
      </c>
      <c r="F25" t="str">
        <f t="shared" si="0"/>
        <v>⚪ Tùy chọn (Trống)</v>
      </c>
    </row>
    <row r="26" spans="1:6" x14ac:dyDescent="0.2">
      <c r="A26" t="s">
        <v>63</v>
      </c>
      <c r="B26" t="s">
        <v>64</v>
      </c>
      <c r="F26" t="str">
        <f t="shared" si="0"/>
        <v>⚪ Tùy chọn (Trống)</v>
      </c>
    </row>
    <row r="27" spans="1:6" x14ac:dyDescent="0.2">
      <c r="A27" t="s">
        <v>65</v>
      </c>
      <c r="B27" t="s">
        <v>66</v>
      </c>
      <c r="F27" t="str">
        <f t="shared" si="0"/>
        <v>⚪ Tùy chọn (Trống)</v>
      </c>
    </row>
    <row r="28" spans="1:6" x14ac:dyDescent="0.2">
      <c r="A28" t="s">
        <v>67</v>
      </c>
      <c r="B28" t="s">
        <v>68</v>
      </c>
      <c r="F28" t="str">
        <f t="shared" si="0"/>
        <v>⚪ Tùy chọn (Trống)</v>
      </c>
    </row>
    <row r="29" spans="1:6" x14ac:dyDescent="0.2">
      <c r="A29" t="s">
        <v>69</v>
      </c>
      <c r="B29" t="s">
        <v>70</v>
      </c>
      <c r="F29" t="str">
        <f t="shared" si="0"/>
        <v>⚪ Tùy chọn (Trống)</v>
      </c>
    </row>
    <row r="30" spans="1:6" x14ac:dyDescent="0.2">
      <c r="A30" t="s">
        <v>71</v>
      </c>
      <c r="B30" t="s">
        <v>72</v>
      </c>
      <c r="E30" t="s">
        <v>180</v>
      </c>
      <c r="F30" t="str">
        <f t="shared" si="0"/>
        <v>⚪ Tùy chọn (Trống)</v>
      </c>
    </row>
    <row r="31" spans="1:6" x14ac:dyDescent="0.2">
      <c r="A31" t="s">
        <v>73</v>
      </c>
      <c r="B31" t="s">
        <v>74</v>
      </c>
      <c r="E31" t="s">
        <v>180</v>
      </c>
      <c r="F31" t="str">
        <f t="shared" si="0"/>
        <v>⚪ Tùy chọn (Trống)</v>
      </c>
    </row>
    <row r="32" spans="1:6" ht="15" x14ac:dyDescent="0.25">
      <c r="A32" s="2" t="s">
        <v>75</v>
      </c>
      <c r="B32" s="2" t="s">
        <v>76</v>
      </c>
      <c r="C32" s="2"/>
      <c r="D32" s="2"/>
      <c r="E32" s="2"/>
      <c r="F32" s="2"/>
    </row>
    <row r="33" spans="1:6" x14ac:dyDescent="0.2">
      <c r="A33" t="s">
        <v>77</v>
      </c>
      <c r="B33" t="s">
        <v>78</v>
      </c>
      <c r="C33" s="3"/>
      <c r="D33" s="3"/>
      <c r="E33" s="3"/>
      <c r="F33" t="str">
        <f>IF(ISBLANK(C33), "❌ CHƯA ĐIỀN (BÁO LỖI)", "✅ Xong")</f>
        <v>❌ CHƯA ĐIỀN (BÁO LỖI)</v>
      </c>
    </row>
    <row r="34" spans="1:6" x14ac:dyDescent="0.2">
      <c r="A34" t="s">
        <v>82</v>
      </c>
      <c r="B34" t="s">
        <v>83</v>
      </c>
      <c r="C34" s="3"/>
      <c r="D34" s="3"/>
      <c r="E34" s="3"/>
      <c r="F34" t="str">
        <f>IF(ISBLANK(C34), "❌ CHƯA ĐIỀN (BÁO LỖI)", "✅ Xong")</f>
        <v>❌ CHƯA ĐIỀN (BÁO LỖI)</v>
      </c>
    </row>
    <row r="35" spans="1:6" x14ac:dyDescent="0.2">
      <c r="A35" t="s">
        <v>87</v>
      </c>
      <c r="B35" t="s">
        <v>88</v>
      </c>
      <c r="C35" s="3"/>
      <c r="D35" s="3"/>
      <c r="E35" s="3"/>
      <c r="F35" t="str">
        <f>IF(ISBLANK(C35), "❌ CHƯA ĐIỀN (BÁO LỖI)", "✅ Xong")</f>
        <v>❌ CHƯA ĐIỀN (BÁO LỖI)</v>
      </c>
    </row>
    <row r="36" spans="1:6" x14ac:dyDescent="0.2">
      <c r="A36" t="s">
        <v>91</v>
      </c>
      <c r="B36" t="s">
        <v>92</v>
      </c>
      <c r="C36" s="3"/>
      <c r="D36" s="3"/>
      <c r="E36" s="3"/>
      <c r="F36" t="str">
        <f>IF(ISBLANK(C36), "❌ CHƯA ĐIỀN (BÁO LỖI)", "✅ Xong")</f>
        <v>❌ CHƯA ĐIỀN (BÁO LỖI)</v>
      </c>
    </row>
    <row r="37" spans="1:6" x14ac:dyDescent="0.2">
      <c r="A37" t="s">
        <v>94</v>
      </c>
      <c r="B37" t="s">
        <v>95</v>
      </c>
      <c r="C37" s="3"/>
      <c r="D37" s="3"/>
      <c r="E37" s="3"/>
      <c r="F37" t="str">
        <f>IF(ISBLANK(C37), "❌ CHƯA ĐIỀN (BÁO LỖI)", "✅ Xong")</f>
        <v>❌ CHƯA ĐIỀN (BÁO LỖI)</v>
      </c>
    </row>
    <row r="38" spans="1:6" x14ac:dyDescent="0.2">
      <c r="A38" t="s">
        <v>98</v>
      </c>
      <c r="B38" t="s">
        <v>99</v>
      </c>
      <c r="F38" t="str">
        <f>IF(ISBLANK(C38), "⚪ Tùy chọn (Trống)", "✅ Xong")</f>
        <v>⚪ Tùy chọn (Trống)</v>
      </c>
    </row>
    <row r="39" spans="1:6" x14ac:dyDescent="0.2">
      <c r="A39" t="s">
        <v>100</v>
      </c>
      <c r="B39" t="s">
        <v>101</v>
      </c>
      <c r="F39" t="str">
        <f>IF(ISBLANK(C39), "⚪ Tùy chọn (Trống)", "✅ Xong")</f>
        <v>⚪ Tùy chọn (Trống)</v>
      </c>
    </row>
    <row r="40" spans="1:6" x14ac:dyDescent="0.2">
      <c r="A40" t="s">
        <v>102</v>
      </c>
      <c r="B40" t="s">
        <v>103</v>
      </c>
      <c r="F40" t="str">
        <f>IF(ISBLANK(C40), "⚪ Tùy chọn (Trống)", "✅ Xong")</f>
        <v>⚪ Tùy chọn (Trống)</v>
      </c>
    </row>
    <row r="41" spans="1:6" x14ac:dyDescent="0.2">
      <c r="A41" t="s">
        <v>104</v>
      </c>
      <c r="B41" t="s">
        <v>105</v>
      </c>
      <c r="C41" s="3"/>
      <c r="D41" s="3"/>
      <c r="E41" s="3"/>
      <c r="F41" t="str">
        <f>IF(ISBLANK(C41), "❌ CHƯA ĐIỀN (BÁO LỖI)", "✅ Xong")</f>
        <v>❌ CHƯA ĐIỀN (BÁO LỖI)</v>
      </c>
    </row>
    <row r="42" spans="1:6" x14ac:dyDescent="0.2">
      <c r="A42" t="s">
        <v>106</v>
      </c>
      <c r="B42" t="s">
        <v>107</v>
      </c>
      <c r="C42" s="3"/>
      <c r="D42" s="3"/>
      <c r="E42" s="3"/>
      <c r="F42" t="str">
        <f>IF(ISBLANK(C42), "❌ CHƯA ĐIỀN (BÁO LỖI)", "✅ Xong")</f>
        <v>❌ CHƯA ĐIỀN (BÁO LỖI)</v>
      </c>
    </row>
    <row r="43" spans="1:6" ht="15" x14ac:dyDescent="0.25">
      <c r="A43" s="2" t="s">
        <v>108</v>
      </c>
      <c r="B43" s="2" t="s">
        <v>109</v>
      </c>
      <c r="C43" s="2"/>
      <c r="D43" s="2"/>
      <c r="E43" s="2"/>
      <c r="F43" s="2"/>
    </row>
    <row r="44" spans="1:6" x14ac:dyDescent="0.2">
      <c r="A44" t="s">
        <v>110</v>
      </c>
      <c r="B44" t="s">
        <v>111</v>
      </c>
      <c r="C44" s="3"/>
      <c r="D44" s="3"/>
      <c r="E44" s="3"/>
      <c r="F44" t="str">
        <f>IF(ISBLANK(C44), "❌ CHƯA ĐIỀN (BÁO LỖI)", "✅ Xong")</f>
        <v>❌ CHƯA ĐIỀN (BÁO LỖI)</v>
      </c>
    </row>
    <row r="45" spans="1:6" x14ac:dyDescent="0.2">
      <c r="A45" t="s">
        <v>112</v>
      </c>
      <c r="B45" t="s">
        <v>83</v>
      </c>
      <c r="C45" s="3"/>
      <c r="D45" s="3"/>
      <c r="E45" s="3"/>
      <c r="F45" t="str">
        <f>IF(ISBLANK(C45), "❌ CHƯA ĐIỀN (BÁO LỖI)", "✅ Xong")</f>
        <v>❌ CHƯA ĐIỀN (BÁO LỖI)</v>
      </c>
    </row>
    <row r="46" spans="1:6" x14ac:dyDescent="0.2">
      <c r="A46" t="s">
        <v>113</v>
      </c>
      <c r="B46" t="s">
        <v>88</v>
      </c>
      <c r="C46" s="3"/>
      <c r="D46" s="3"/>
      <c r="E46" s="3"/>
      <c r="F46" t="str">
        <f>IF(ISBLANK(C46), "❌ CHƯA ĐIỀN (BÁO LỖI)", "✅ Xong")</f>
        <v>❌ CHƯA ĐIỀN (BÁO LỖI)</v>
      </c>
    </row>
    <row r="47" spans="1:6" x14ac:dyDescent="0.2">
      <c r="A47" t="s">
        <v>117</v>
      </c>
      <c r="B47" t="s">
        <v>118</v>
      </c>
      <c r="C47" s="3"/>
      <c r="D47" s="3"/>
      <c r="E47" s="3"/>
      <c r="F47" t="str">
        <f>IF(ISBLANK(C47), "❌ CHƯA ĐIỀN (BÁO LỖI)", "✅ Xong")</f>
        <v>❌ CHƯA ĐIỀN (BÁO LỖI)</v>
      </c>
    </row>
    <row r="48" spans="1:6" x14ac:dyDescent="0.2">
      <c r="A48" t="s">
        <v>119</v>
      </c>
      <c r="B48" t="s">
        <v>120</v>
      </c>
      <c r="C48" s="3"/>
      <c r="D48" s="3"/>
      <c r="E48" s="3"/>
      <c r="F48" t="str">
        <f>IF(ISBLANK(C48), "❌ CHƯA ĐIỀN (BÁO LỖI)", "✅ Xong")</f>
        <v>❌ CHƯA ĐIỀN (BÁO LỖI)</v>
      </c>
    </row>
    <row r="49" spans="1:6" x14ac:dyDescent="0.2">
      <c r="A49" t="s">
        <v>121</v>
      </c>
      <c r="B49" t="s">
        <v>99</v>
      </c>
      <c r="F49" t="str">
        <f>IF(ISBLANK(C49), "⚪ Tùy chọn (Trống)", "✅ Xong")</f>
        <v>⚪ Tùy chọn (Trống)</v>
      </c>
    </row>
    <row r="50" spans="1:6" x14ac:dyDescent="0.2">
      <c r="A50" t="s">
        <v>122</v>
      </c>
      <c r="B50" t="s">
        <v>123</v>
      </c>
      <c r="F50" t="str">
        <f>IF(ISBLANK(C50), "⚪ Tùy chọn (Trống)", "✅ Xong")</f>
        <v>⚪ Tùy chọn (Trống)</v>
      </c>
    </row>
    <row r="51" spans="1:6" x14ac:dyDescent="0.2">
      <c r="A51" t="s">
        <v>124</v>
      </c>
      <c r="B51" t="s">
        <v>125</v>
      </c>
      <c r="F51" t="str">
        <f>IF(ISBLANK(C51), "⚪ Tùy chọn (Trống)", "✅ Xong")</f>
        <v>⚪ Tùy chọn (Trống)</v>
      </c>
    </row>
    <row r="52" spans="1:6" x14ac:dyDescent="0.2">
      <c r="A52" t="s">
        <v>126</v>
      </c>
      <c r="B52" t="s">
        <v>127</v>
      </c>
      <c r="C52" s="3"/>
      <c r="D52" s="3"/>
      <c r="E52" s="3"/>
      <c r="F52" t="str">
        <f>IF(ISBLANK(C52), "❌ CHƯA ĐIỀN (BÁO LỖI)", "✅ Xong")</f>
        <v>❌ CHƯA ĐIỀN (BÁO LỖI)</v>
      </c>
    </row>
    <row r="53" spans="1:6" x14ac:dyDescent="0.2">
      <c r="A53" t="s">
        <v>128</v>
      </c>
      <c r="B53" t="s">
        <v>129</v>
      </c>
      <c r="C53" s="3"/>
      <c r="D53" s="3"/>
      <c r="E53" s="3"/>
      <c r="F53" t="str">
        <f>IF(ISBLANK(C53), "❌ CHƯA ĐIỀN (BÁO LỖI)", "✅ Xong")</f>
        <v>❌ CHƯA ĐIỀN (BÁO LỖI)</v>
      </c>
    </row>
    <row r="54" spans="1:6" ht="15" x14ac:dyDescent="0.25">
      <c r="A54" s="2" t="s">
        <v>130</v>
      </c>
      <c r="B54" s="2" t="s">
        <v>131</v>
      </c>
      <c r="C54" s="2"/>
      <c r="D54" s="2"/>
      <c r="E54" s="2"/>
      <c r="F54" s="2"/>
    </row>
    <row r="55" spans="1:6" x14ac:dyDescent="0.2">
      <c r="A55" t="s">
        <v>132</v>
      </c>
      <c r="B55" t="s">
        <v>133</v>
      </c>
      <c r="C55" s="3"/>
      <c r="D55" s="3"/>
      <c r="E55" s="3"/>
      <c r="F55" t="str">
        <f>IF(ISBLANK(C55), "❌ CHƯA ĐIỀN (BÁO LỖI)", "✅ Xong")</f>
        <v>❌ CHƯA ĐIỀN (BÁO LỖI)</v>
      </c>
    </row>
    <row r="56" spans="1:6" x14ac:dyDescent="0.2">
      <c r="A56" t="s">
        <v>135</v>
      </c>
      <c r="B56" t="s">
        <v>83</v>
      </c>
      <c r="C56" s="3"/>
      <c r="D56" s="3"/>
      <c r="E56" s="3"/>
      <c r="F56" t="str">
        <f>IF(ISBLANK(C56), "❌ CHƯA ĐIỀN (BÁO LỖI)", "✅ Xong")</f>
        <v>❌ CHƯA ĐIỀN (BÁO LỖI)</v>
      </c>
    </row>
    <row r="57" spans="1:6" x14ac:dyDescent="0.2">
      <c r="A57" t="s">
        <v>136</v>
      </c>
      <c r="B57" t="s">
        <v>88</v>
      </c>
      <c r="C57" s="3"/>
      <c r="D57" s="3"/>
      <c r="E57" s="3"/>
      <c r="F57" t="str">
        <f>IF(ISBLANK(C57), "❌ CHƯA ĐIỀN (BÁO LỖI)", "✅ Xong")</f>
        <v>❌ CHƯA ĐIỀN (BÁO LỖI)</v>
      </c>
    </row>
    <row r="58" spans="1:6" x14ac:dyDescent="0.2">
      <c r="A58" t="s">
        <v>137</v>
      </c>
      <c r="B58" t="s">
        <v>138</v>
      </c>
      <c r="C58" s="3"/>
      <c r="D58" s="3"/>
      <c r="E58" s="3"/>
      <c r="F58" t="str">
        <f>IF(ISBLANK(C58), "❌ CHƯA ĐIỀN (BÁO LỖI)", "✅ Xong")</f>
        <v>❌ CHƯA ĐIỀN (BÁO LỖI)</v>
      </c>
    </row>
    <row r="59" spans="1:6" x14ac:dyDescent="0.2">
      <c r="A59" t="s">
        <v>141</v>
      </c>
      <c r="B59" t="s">
        <v>142</v>
      </c>
      <c r="C59" s="3"/>
      <c r="D59" s="3"/>
      <c r="E59" s="3"/>
      <c r="F59" t="str">
        <f>IF(ISBLANK(C59), "❌ CHƯA ĐIỀN (BÁO LỖI)", "✅ Xong")</f>
        <v>❌ CHƯA ĐIỀN (BÁO LỖI)</v>
      </c>
    </row>
    <row r="60" spans="1:6" x14ac:dyDescent="0.2">
      <c r="A60" t="s">
        <v>145</v>
      </c>
      <c r="B60" t="s">
        <v>99</v>
      </c>
      <c r="F60" t="str">
        <f>IF(ISBLANK(C60), "⚪ Tùy chọn (Trống)", "✅ Xong")</f>
        <v>⚪ Tùy chọn (Trống)</v>
      </c>
    </row>
    <row r="61" spans="1:6" x14ac:dyDescent="0.2">
      <c r="A61" t="s">
        <v>146</v>
      </c>
      <c r="B61" t="s">
        <v>147</v>
      </c>
      <c r="F61" t="str">
        <f>IF(ISBLANK(C61), "⚪ Tùy chọn (Trống)", "✅ Xong")</f>
        <v>⚪ Tùy chọn (Trống)</v>
      </c>
    </row>
    <row r="62" spans="1:6" x14ac:dyDescent="0.2">
      <c r="A62" t="s">
        <v>148</v>
      </c>
      <c r="B62" t="s">
        <v>149</v>
      </c>
      <c r="F62" t="str">
        <f>IF(ISBLANK(C62), "⚪ Tùy chọn (Trống)", "✅ Xong")</f>
        <v>⚪ Tùy chọn (Trống)</v>
      </c>
    </row>
    <row r="63" spans="1:6" x14ac:dyDescent="0.2">
      <c r="A63" t="s">
        <v>150</v>
      </c>
      <c r="B63" t="s">
        <v>151</v>
      </c>
      <c r="C63" s="3"/>
      <c r="D63" s="3"/>
      <c r="E63" s="3"/>
      <c r="F63" t="str">
        <f>IF(ISBLANK(C63), "❌ CHƯA ĐIỀN (BÁO LỖI)", "✅ Xong")</f>
        <v>❌ CHƯA ĐIỀN (BÁO LỖI)</v>
      </c>
    </row>
    <row r="64" spans="1:6" x14ac:dyDescent="0.2">
      <c r="A64" t="s">
        <v>152</v>
      </c>
      <c r="B64" t="s">
        <v>153</v>
      </c>
      <c r="C64" s="3"/>
      <c r="D64" s="3"/>
      <c r="E64" s="3"/>
      <c r="F64" t="str">
        <f>IF(ISBLANK(C64), "❌ CHƯA ĐIỀN (BÁO LỖI)", "✅ Xong")</f>
        <v>❌ CHƯA ĐIỀN (BÁO LỖI)</v>
      </c>
    </row>
    <row r="65" spans="1:6" ht="15" x14ac:dyDescent="0.25">
      <c r="A65" s="2" t="s">
        <v>154</v>
      </c>
      <c r="B65" s="2" t="s">
        <v>155</v>
      </c>
      <c r="C65" s="2"/>
      <c r="D65" s="2"/>
      <c r="E65" s="2"/>
      <c r="F65" s="2"/>
    </row>
    <row r="66" spans="1:6" x14ac:dyDescent="0.2">
      <c r="A66" t="s">
        <v>156</v>
      </c>
      <c r="B66" t="s">
        <v>157</v>
      </c>
      <c r="C66" s="3"/>
      <c r="D66" s="3"/>
      <c r="E66" s="3"/>
      <c r="F66" t="str">
        <f>IF(ISBLANK(C66), "❌ CHƯA ĐIỀN THÔNG TIN CNĐT (BÁO LỖI)", IF(OR(ISBLANK(D66), ISBLANK(E66)), "❌ BÁO LỖI: CHƯA CÓ FILE CV TRONG THƯ MỤC KIỂM TRA (VUI LÒNG BỔ SUNG)", "✅ Đã kiểm tra &amp; liên kết CV Mặc định Đạo đức"))</f>
        <v>❌ CHƯA ĐIỀN THÔNG TIN CNĐT (BÁO LỖI)</v>
      </c>
    </row>
    <row r="67" spans="1:6" x14ac:dyDescent="0.2">
      <c r="A67" t="s">
        <v>160</v>
      </c>
      <c r="B67" t="s">
        <v>161</v>
      </c>
      <c r="F67" t="str">
        <f t="shared" ref="F67:F75" si="1">IF(ISBLANK(C67), "⚪ Tùy chọn (Trống)", IF(OR(ISBLANK(D67), ISBLANK(E67)), "❌ BÁO LỖI: CHƯA CÓ FILE CV TRONG THƯ MỤC KIỂM TRA (VUI LÒNG BỔ SUNG)", "✅ Đã kiểm tra &amp; liên kết CV"))</f>
        <v>⚪ Tùy chọn (Trống)</v>
      </c>
    </row>
    <row r="68" spans="1:6" x14ac:dyDescent="0.2">
      <c r="A68" t="s">
        <v>162</v>
      </c>
      <c r="B68" t="s">
        <v>163</v>
      </c>
      <c r="F68" t="str">
        <f t="shared" si="1"/>
        <v>⚪ Tùy chọn (Trống)</v>
      </c>
    </row>
    <row r="69" spans="1:6" x14ac:dyDescent="0.2">
      <c r="A69" t="s">
        <v>166</v>
      </c>
      <c r="B69" t="s">
        <v>167</v>
      </c>
      <c r="F69" t="str">
        <f t="shared" si="1"/>
        <v>⚪ Tùy chọn (Trống)</v>
      </c>
    </row>
    <row r="70" spans="1:6" x14ac:dyDescent="0.2">
      <c r="A70" t="s">
        <v>168</v>
      </c>
      <c r="B70" t="s">
        <v>169</v>
      </c>
      <c r="F70" t="str">
        <f t="shared" si="1"/>
        <v>⚪ Tùy chọn (Trống)</v>
      </c>
    </row>
    <row r="71" spans="1:6" x14ac:dyDescent="0.2">
      <c r="A71" t="s">
        <v>170</v>
      </c>
      <c r="B71" t="s">
        <v>171</v>
      </c>
      <c r="F71" t="str">
        <f t="shared" si="1"/>
        <v>⚪ Tùy chọn (Trống)</v>
      </c>
    </row>
    <row r="72" spans="1:6" x14ac:dyDescent="0.2">
      <c r="A72" t="s">
        <v>172</v>
      </c>
      <c r="B72" t="s">
        <v>173</v>
      </c>
      <c r="F72" t="str">
        <f t="shared" si="1"/>
        <v>⚪ Tùy chọn (Trống)</v>
      </c>
    </row>
    <row r="73" spans="1:6" x14ac:dyDescent="0.2">
      <c r="A73" t="s">
        <v>174</v>
      </c>
      <c r="B73" t="s">
        <v>175</v>
      </c>
      <c r="F73" t="str">
        <f t="shared" si="1"/>
        <v>⚪ Tùy chọn (Trống)</v>
      </c>
    </row>
    <row r="74" spans="1:6" x14ac:dyDescent="0.2">
      <c r="A74" t="s">
        <v>176</v>
      </c>
      <c r="B74" t="s">
        <v>177</v>
      </c>
      <c r="F74" t="str">
        <f t="shared" si="1"/>
        <v>⚪ Tùy chọn (Trống)</v>
      </c>
    </row>
    <row r="75" spans="1:6" x14ac:dyDescent="0.2">
      <c r="A75" t="s">
        <v>178</v>
      </c>
      <c r="B75" t="s">
        <v>179</v>
      </c>
      <c r="F75" t="str">
        <f t="shared" si="1"/>
        <v>⚪ Tùy chọn (Trống)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Đề tài - Bánh ăn dặm VIAM 2027</vt:lpstr>
      <vt:lpstr>Đề tài - Mẫu trắng dự án mới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VIAMRC</dc:creator>
  <cp:lastModifiedBy>VIAMRC</cp:lastModifiedBy>
  <dcterms:created xsi:type="dcterms:W3CDTF">2026-08-21T09:55:01Z</dcterms:created>
  <dcterms:modified xsi:type="dcterms:W3CDTF">2026-08-21T10:11:08Z</dcterms:modified>
</cp:coreProperties>
</file>