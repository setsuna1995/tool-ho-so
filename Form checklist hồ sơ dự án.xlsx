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Đề tài - Bánh ăn dặm VIAM 2027" sheetId="1" state="visible" r:id="rId1"/>
    <sheet xmlns:r="http://schemas.openxmlformats.org/officeDocument/2006/relationships" name="Đề tài - Mẫu trắng dự án mới" sheetId="2" state="visible" r:id="rId2"/>
    <sheet xmlns:r="http://schemas.openxmlformats.org/officeDocument/2006/relationships" name="_NhanSu" sheetId="3" state="hidden" r:id="rId3"/>
    <sheet xmlns:r="http://schemas.openxmlformats.org/officeDocument/2006/relationships" name="_Tokens" sheetId="4" state="visible" r:id="rId4"/>
  </sheets>
  <definedNames/>
  <calcPr calcId="191029" fullCalcOnLoad="1"/>
</workbook>
</file>

<file path=xl/styles.xml><?xml version="1.0" encoding="utf-8"?>
<styleSheet xmlns="http://schemas.openxmlformats.org/spreadsheetml/2006/main">
  <numFmts count="1">
    <numFmt numFmtId="164" formatCode="DD/MM/YYYY"/>
  </numFmts>
  <fonts count="8">
    <font>
      <name val="Arial"/>
      <family val="2"/>
      <color theme="1"/>
      <sz val="11"/>
      <scheme val="minor"/>
    </font>
    <font>
      <name val="Arial"/>
      <family val="2"/>
      <b val="1"/>
      <color theme="1"/>
      <sz val="11"/>
      <scheme val="minor"/>
    </font>
    <font>
      <name val="Arial"/>
      <family val="2"/>
      <b val="1"/>
      <color indexed="9"/>
      <sz val="15"/>
      <scheme val="minor"/>
    </font>
    <font>
      <name val="Arial"/>
      <family val="2"/>
      <b val="1"/>
      <color theme="1"/>
      <sz val="12"/>
      <scheme val="minor"/>
    </font>
    <font>
      <name val="Arial"/>
      <family val="2"/>
      <b val="1"/>
      <color indexed="9"/>
      <sz val="11"/>
      <scheme val="minor"/>
    </font>
    <font>
      <b val="1"/>
    </font>
    <font>
      <name val="Arial"/>
      <b val="1"/>
      <color rgb="001F497D"/>
      <sz val="10"/>
    </font>
    <font>
      <name val="Arial"/>
      <sz val="10"/>
    </font>
  </fonts>
  <fills count="7">
    <fill>
      <patternFill/>
    </fill>
    <fill>
      <patternFill patternType="gray125"/>
    </fill>
    <fill>
      <patternFill patternType="solid">
        <fgColor indexed="18"/>
        <bgColor indexed="64"/>
      </patternFill>
    </fill>
    <fill>
      <patternFill patternType="solid">
        <fgColor indexed="22"/>
        <bgColor indexed="64"/>
      </patternFill>
    </fill>
    <fill>
      <patternFill patternType="solid">
        <fgColor indexed="44"/>
        <bgColor indexed="64"/>
      </patternFill>
    </fill>
    <fill>
      <patternFill patternType="solid">
        <fgColor indexed="43"/>
        <bgColor indexed="64"/>
      </patternFill>
    </fill>
    <fill>
      <patternFill patternType="solid">
        <fgColor rgb="00DCE6F1"/>
        <bgColor rgb="00DCE6F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3" borderId="0" pivotButton="0" quotePrefix="0" xfId="0"/>
    <xf numFmtId="0" fontId="4" fillId="4" borderId="0" pivotButton="0" quotePrefix="0" xfId="0"/>
    <xf numFmtId="0" fontId="0" fillId="5" borderId="0" pivotButton="0" quotePrefix="0" xfId="0"/>
    <xf numFmtId="0" fontId="2" fillId="2" borderId="0" pivotButton="0" quotePrefix="0" xfId="0"/>
    <xf numFmtId="0" fontId="3" fillId="0" borderId="0" pivotButton="0" quotePrefix="0" xfId="0"/>
    <xf numFmtId="0" fontId="5" fillId="0" borderId="0" pivotButton="0" quotePrefix="0" xfId="0"/>
    <xf numFmtId="0" fontId="6" fillId="6" borderId="1" pivotButton="0" quotePrefix="0" xfId="0"/>
    <xf numFmtId="0" fontId="7" fillId="0" borderId="1" pivotButton="0" quotePrefix="0" xfId="0"/>
    <xf numFmtId="164" fontId="7" fillId="0" borderId="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F99"/>
  <sheetViews>
    <sheetView tabSelected="1" topLeftCell="C42" workbookViewId="0">
      <selection activeCell="E73" sqref="E73"/>
    </sheetView>
  </sheetViews>
  <sheetFormatPr baseColWidth="8" defaultRowHeight="14.25"/>
  <cols>
    <col width="8.5" bestFit="1" customWidth="1" min="1" max="1"/>
    <col width="94.125" bestFit="1" customWidth="1" min="2" max="2"/>
    <col width="66.375" bestFit="1" customWidth="1" min="3" max="3"/>
    <col width="31.125" bestFit="1" customWidth="1" min="4" max="4"/>
    <col width="48.125" bestFit="1" customWidth="1" min="5" max="5"/>
    <col width="40.5" bestFit="1" customWidth="1" min="6" max="6"/>
  </cols>
  <sheetData>
    <row r="1" ht="19.5" customHeight="1">
      <c r="A1" s="4" t="inlineStr">
        <is>
          <t>BẢNG NHẬP THÔNG TIN VÀ CHECKLIST KIỂM TRA HỒ SƠ NGHIÊN CỨU KHOA HỌC</t>
        </is>
      </c>
    </row>
    <row r="2" ht="15.75" customHeight="1">
      <c r="A2" s="5">
        <f>IF(COUNTIF(F6:F150, "*BÁO LỖI*")&gt;0, "⚠️ BÁO LỖI: PHÁT HIỆN CHƯA CÓ FILE CV CHUYÊN GIA HOẶC THIẾU THÔNG TIN BẮT BUỘC - VUI LÒNG BỔ SUNG CÁC Ô MÀU ĐỎ DƯỚI ĐÂY", "🎉 HOÀN THÀNH 100%: TẤT CẢ THÔNG TIN &amp; FILE CV CHUYÊN GIA ĐÃ ĐẦY ĐỦ - SẴN SÀNG CHẠY RA BỘ HỒ SƠ HOÀN CHỈNH")</f>
        <v/>
      </c>
    </row>
    <row r="3"/>
    <row r="4" ht="15" customHeight="1">
      <c r="A4" s="1" t="inlineStr">
        <is>
          <t>MÃ MỤC</t>
        </is>
      </c>
      <c r="B4" s="1" t="inlineStr">
        <is>
          <t>HẠNG MỤC THÔNG TIN CẦN ĐIỀN</t>
        </is>
      </c>
      <c r="C4" s="1" t="inlineStr">
        <is>
          <t>HỌ VÀ TÊN / NỘI DUNG (Ô VÀNG BẮT BUỘC / KHÔNG NỀN TÙY CHỌN)</t>
        </is>
      </c>
      <c r="D4" s="1" t="inlineStr">
        <is>
          <t>HỌC HÀM / HỌC VỊ / TÊN FILE CV</t>
        </is>
      </c>
      <c r="E4" s="1" t="inlineStr">
        <is>
          <t>CHỨC VỤ &amp; NƠI CÔNG TÁC / ĐƯỜNG DẪN LINK CV</t>
        </is>
      </c>
      <c r="F4" s="1" t="inlineStr">
        <is>
          <t>TRẠNG THÁI KIỂM TRA (TỰ ĐỘNG)</t>
        </is>
      </c>
    </row>
    <row r="5" ht="15" customHeight="1">
      <c r="A5" s="2" t="inlineStr">
        <is>
          <t>SEC_A</t>
        </is>
      </c>
      <c r="B5" s="2" t="inlineStr">
        <is>
          <t>PHẦN A: THÔNG TIN CHUNG DỰ ÁN &amp; ĐỀ TÀI</t>
        </is>
      </c>
      <c r="C5" s="2" t="n"/>
      <c r="D5" s="2" t="n"/>
      <c r="E5" s="2" t="n"/>
      <c r="F5" s="2" t="n"/>
    </row>
    <row r="6">
      <c r="A6" t="inlineStr">
        <is>
          <t>A01</t>
        </is>
      </c>
      <c r="B6" t="inlineStr">
        <is>
          <t>Tên đề tài nghiên cứu</t>
        </is>
      </c>
      <c r="C6" s="3" t="inlineStr">
        <is>
          <t>Tư vấn hiệu quả công thức sản phẩm Bánh ăn dặm VIAM</t>
        </is>
      </c>
      <c r="D6" s="3" t="n"/>
      <c r="E6" s="3" t="n"/>
      <c r="F6">
        <f>IF(ISBLANK(C6), "❌ CHƯA ĐIỀN (BÁO LỖI)", "✅ Xong")</f>
        <v/>
      </c>
    </row>
    <row r="7">
      <c r="A7" t="inlineStr">
        <is>
          <t>A02</t>
        </is>
      </c>
      <c r="B7" t="inlineStr">
        <is>
          <t>Loại hình nghiên cứu (TVCT_ĐGHQ / TNLS)</t>
        </is>
      </c>
      <c r="C7" s="3" t="inlineStr">
        <is>
          <t>TVCT_ĐGHQ</t>
        </is>
      </c>
      <c r="D7" s="3" t="n"/>
      <c r="E7" s="3" t="n"/>
      <c r="F7">
        <f>IF(ISBLANK(C7), "❌ CHƯA ĐIỀN (BÁO LỖI)", "✅ Xong")</f>
        <v/>
      </c>
    </row>
    <row r="8">
      <c r="A8" t="inlineStr">
        <is>
          <t>A03</t>
        </is>
      </c>
      <c r="B8" t="inlineStr">
        <is>
          <t>Năm thực hiện hồ sơ (Bắt buộc điền năm)</t>
        </is>
      </c>
      <c r="C8" s="3" t="n">
        <v>2027</v>
      </c>
      <c r="D8" s="3" t="n"/>
      <c r="E8" s="3" t="n"/>
      <c r="F8">
        <f>IF(ISBLANK(C8), "❌ CHƯA ĐIỀN (BÁO LỖI)", "✅ Xong")</f>
        <v/>
      </c>
    </row>
    <row r="9">
      <c r="A9" t="inlineStr">
        <is>
          <t>A04</t>
        </is>
      </c>
      <c r="B9" t="inlineStr">
        <is>
          <t>Cơ quan chủ trì</t>
        </is>
      </c>
      <c r="C9" s="3" t="inlineStr">
        <is>
          <t>Viện Y học Ứng dụng Việt Nam (VIAM)</t>
        </is>
      </c>
      <c r="D9" s="3" t="n"/>
      <c r="E9" s="3" t="n"/>
      <c r="F9">
        <f>IF(ISBLANK(C9), "❌ CHƯA ĐIỀN (BÁO LỖI)", "✅ Xong")</f>
        <v/>
      </c>
    </row>
    <row r="10">
      <c r="A10" t="inlineStr">
        <is>
          <t>A05</t>
        </is>
      </c>
      <c r="B10" t="inlineStr">
        <is>
          <t>Thời gian triển khai NC</t>
        </is>
      </c>
      <c r="C10" s="3" t="inlineStr">
        <is>
          <t>Tháng 01/2027 đến tháng 12/2027</t>
        </is>
      </c>
      <c r="D10" s="3" t="n"/>
      <c r="E10" s="3" t="n"/>
      <c r="F10">
        <f>IF(ISBLANK(C10), "❌ CHƯA ĐIỀN (BÁO LỖI)", "✅ Xong")</f>
        <v/>
      </c>
    </row>
    <row r="11" ht="15" customHeight="1">
      <c r="A11" t="inlineStr">
        <is>
          <t>A06</t>
        </is>
      </c>
      <c r="B11" t="inlineStr">
        <is>
          <t>Cơ quan phối hợp (Tùy chọn)</t>
        </is>
      </c>
      <c r="C11" s="3" t="n"/>
      <c r="D11" s="3" t="n"/>
      <c r="E11" s="3" t="n"/>
      <c r="F11">
        <f>IF(ISBLANK(C11), "⚪ Tùy chọn (Trống)", "✅ Xong")</f>
        <v/>
      </c>
    </row>
    <row r="12">
      <c r="A12" t="inlineStr">
        <is>
          <t>A07</t>
        </is>
      </c>
      <c r="B12" t="inlineStr">
        <is>
          <t>Địa điểm triển khai nghiên cứu (Tùy chọn)</t>
        </is>
      </c>
      <c r="C12" s="3" t="n"/>
      <c r="D12" s="3" t="n"/>
      <c r="E12" s="3" t="n"/>
      <c r="F12">
        <f>IF(ISBLANK(C12), "⚪ Tùy chọn (Trống)", "✅ Xong")</f>
        <v/>
      </c>
    </row>
    <row r="13">
      <c r="A13" t="inlineStr">
        <is>
          <t>A08</t>
        </is>
      </c>
      <c r="B13" t="inlineStr">
        <is>
          <t>Đầu mối liên hệ (họ tên, đơn vị, email, điện thoại - Tùy chọn)</t>
        </is>
      </c>
      <c r="C13" s="3" t="n"/>
      <c r="D13" s="3" t="n"/>
      <c r="E13" s="3" t="n"/>
      <c r="F13">
        <f>IF(ISBLANK(C13), "⚪ Tùy chọn (Trống)", "✅ Xong")</f>
        <v/>
      </c>
    </row>
    <row r="14">
      <c r="A14" s="2" t="inlineStr">
        <is>
          <t>SEC_B</t>
        </is>
      </c>
      <c r="B14" s="2" t="inlineStr">
        <is>
          <t>PHẦN B: BAN CHỦ NHIỆM &amp; NGHIÊN CỨU VIÊN ĐỀ TÀI (TỐI ĐA 20 NGƯỜI)</t>
        </is>
      </c>
      <c r="C14" s="2" t="n"/>
      <c r="D14" s="2" t="n"/>
      <c r="E14" s="2" t="n"/>
      <c r="F14" s="2" t="n"/>
    </row>
    <row r="15">
      <c r="A15" t="inlineStr">
        <is>
          <t>B01</t>
        </is>
      </c>
      <c r="B15" t="inlineStr">
        <is>
          <t>Chủ nhiệm đề tài (CNĐT - Bắt buộc)</t>
        </is>
      </c>
      <c r="C15" s="3" t="inlineStr">
        <is>
          <t>Trương Hồng Sơn</t>
        </is>
      </c>
      <c r="D15" s="3" t="inlineStr">
        <is>
          <t>TS.BS.</t>
        </is>
      </c>
      <c r="E15" s="3" t="inlineStr">
        <is>
          <t>Viện trưởng - Viện Y học Ứng dụng VN</t>
        </is>
      </c>
      <c r="F15">
        <f>IF(ISBLANK(C15), "❌ CHƯA ĐIỀN (BÁO LỖI)", "✅ Xong")</f>
        <v/>
      </c>
    </row>
    <row r="16">
      <c r="A16" t="inlineStr">
        <is>
          <t>B02</t>
        </is>
      </c>
      <c r="B16" t="inlineStr">
        <is>
          <t>Đồng Chủ nhiệm đề tài (Tùy chọn)</t>
        </is>
      </c>
      <c r="F16">
        <f>IF(ISBLANK(C16), "⚪ Tùy chọn (Trống)", "✅ Xong")</f>
        <v/>
      </c>
    </row>
    <row r="17">
      <c r="A17" t="inlineStr">
        <is>
          <t>B03</t>
        </is>
      </c>
      <c r="B17" t="inlineStr">
        <is>
          <t>Thư ký Đề tài (Khác Thư ký HĐ - Tùy chọn)</t>
        </is>
      </c>
      <c r="C17" t="inlineStr">
        <is>
          <t>Lưu Liên Hương</t>
        </is>
      </c>
      <c r="D17" t="inlineStr">
        <is>
          <t>Thạc sĩ</t>
        </is>
      </c>
      <c r="E17" t="inlineStr">
        <is>
          <t>Trung tâm NCKH - Viện VIAM</t>
        </is>
      </c>
      <c r="F17">
        <f>IF(ISBLANK(C17), "⚪ Tùy chọn (Trống)", "✅ Xong")</f>
        <v/>
      </c>
    </row>
    <row r="18">
      <c r="A18" t="inlineStr">
        <is>
          <t>B04</t>
        </is>
      </c>
      <c r="B18" t="inlineStr">
        <is>
          <t>Nghiên cứu viên 1</t>
        </is>
      </c>
      <c r="C18" t="inlineStr">
        <is>
          <t>Lê Việt Anh</t>
        </is>
      </c>
      <c r="D18" t="inlineStr">
        <is>
          <t>Thạc sĩ</t>
        </is>
      </c>
      <c r="E18" t="inlineStr">
        <is>
          <t>Trung tâm NCKH - Viện VIAM</t>
        </is>
      </c>
      <c r="F18">
        <f>IF(ISBLANK(C18), "⚪ Tùy chọn (Trống)", "✅ Xong")</f>
        <v/>
      </c>
    </row>
    <row r="19">
      <c r="A19" t="inlineStr">
        <is>
          <t>B05</t>
        </is>
      </c>
      <c r="B19" t="inlineStr">
        <is>
          <t>Nghiên cứu viên 2</t>
        </is>
      </c>
      <c r="C19" t="inlineStr">
        <is>
          <t>Lê Minh Khánh</t>
        </is>
      </c>
      <c r="D19" t="inlineStr">
        <is>
          <t>Bác sĩ</t>
        </is>
      </c>
      <c r="E19" t="inlineStr">
        <is>
          <t>Phòng khám VIAM</t>
        </is>
      </c>
      <c r="F19">
        <f>IF(ISBLANK(C19), "⚪ Tùy chọn (Trống)", "✅ Xong")</f>
        <v/>
      </c>
    </row>
    <row r="20">
      <c r="A20" t="inlineStr">
        <is>
          <t>B06</t>
        </is>
      </c>
      <c r="B20" t="inlineStr">
        <is>
          <t>Nghiên cứu viên 3</t>
        </is>
      </c>
      <c r="F20">
        <f>IF(ISBLANK(C20), "⚪ Tùy chọn (Trống)", "✅ Xong")</f>
        <v/>
      </c>
    </row>
    <row r="21">
      <c r="A21" t="inlineStr">
        <is>
          <t>B07</t>
        </is>
      </c>
      <c r="B21" t="inlineStr">
        <is>
          <t>Nghiên cứu viên 4</t>
        </is>
      </c>
      <c r="F21">
        <f>IF(ISBLANK(C21), "⚪ Tùy chọn (Trống)", "✅ Xong")</f>
        <v/>
      </c>
    </row>
    <row r="22">
      <c r="A22" t="inlineStr">
        <is>
          <t>B08</t>
        </is>
      </c>
      <c r="B22" t="inlineStr">
        <is>
          <t>Nghiên cứu viên 5</t>
        </is>
      </c>
      <c r="F22">
        <f>IF(ISBLANK(C22), "⚪ Tùy chọn (Trống)", "✅ Xong")</f>
        <v/>
      </c>
    </row>
    <row r="23">
      <c r="A23" t="inlineStr">
        <is>
          <t>B09</t>
        </is>
      </c>
      <c r="B23" t="inlineStr">
        <is>
          <t>Nghiên cứu viên 6</t>
        </is>
      </c>
      <c r="F23">
        <f>IF(ISBLANK(C23), "⚪ Tùy chọn (Trống)", "✅ Xong")</f>
        <v/>
      </c>
    </row>
    <row r="24">
      <c r="A24" t="inlineStr">
        <is>
          <t>B10</t>
        </is>
      </c>
      <c r="B24" t="inlineStr">
        <is>
          <t>Nghiên cứu viên 7</t>
        </is>
      </c>
      <c r="F24">
        <f>IF(ISBLANK(C24), "⚪ Tùy chọn (Trống)", "✅ Xong")</f>
        <v/>
      </c>
    </row>
    <row r="25">
      <c r="A25" t="inlineStr">
        <is>
          <t>B11</t>
        </is>
      </c>
      <c r="B25" t="inlineStr">
        <is>
          <t>Nghiên cứu viên 8</t>
        </is>
      </c>
      <c r="F25">
        <f>IF(ISBLANK(C25), "⚪ Tùy chọn (Trống)", "✅ Xong")</f>
        <v/>
      </c>
    </row>
    <row r="26">
      <c r="A26" t="inlineStr">
        <is>
          <t>B12</t>
        </is>
      </c>
      <c r="B26" t="inlineStr">
        <is>
          <t>Nghiên cứu viên 9</t>
        </is>
      </c>
      <c r="F26">
        <f>IF(ISBLANK(C26), "⚪ Tùy chọn (Trống)", "✅ Xong")</f>
        <v/>
      </c>
    </row>
    <row r="27">
      <c r="A27" t="inlineStr">
        <is>
          <t>B13</t>
        </is>
      </c>
      <c r="B27" t="inlineStr">
        <is>
          <t>Nghiên cứu viên 10</t>
        </is>
      </c>
      <c r="F27">
        <f>IF(ISBLANK(C27), "⚪ Tùy chọn (Trống)", "✅ Xong")</f>
        <v/>
      </c>
    </row>
    <row r="28">
      <c r="A28" t="inlineStr">
        <is>
          <t>B14</t>
        </is>
      </c>
      <c r="B28" t="inlineStr">
        <is>
          <t>Nghiên cứu viên 11</t>
        </is>
      </c>
      <c r="F28">
        <f>IF(ISBLANK(C28), "⚪ Tùy chọn (Trống)", "✅ Xong")</f>
        <v/>
      </c>
    </row>
    <row r="29">
      <c r="A29" t="inlineStr">
        <is>
          <t>B15</t>
        </is>
      </c>
      <c r="B29" t="inlineStr">
        <is>
          <t>Nghiên cứu viên 12</t>
        </is>
      </c>
      <c r="F29">
        <f>IF(ISBLANK(C29), "⚪ Tùy chọn (Trống)", "✅ Xong")</f>
        <v/>
      </c>
    </row>
    <row r="30">
      <c r="A30" t="inlineStr">
        <is>
          <t>B16</t>
        </is>
      </c>
      <c r="B30" t="inlineStr">
        <is>
          <t>Nghiên cứu viên 13</t>
        </is>
      </c>
      <c r="F30">
        <f>IF(ISBLANK(C30), "⚪ Tùy chọn (Trống)", "✅ Xong")</f>
        <v/>
      </c>
    </row>
    <row r="31">
      <c r="A31" t="inlineStr">
        <is>
          <t>B17</t>
        </is>
      </c>
      <c r="B31" t="inlineStr">
        <is>
          <t>Nghiên cứu viên 14</t>
        </is>
      </c>
      <c r="F31">
        <f>IF(ISBLANK(C31), "⚪ Tùy chọn (Trống)", "✅ Xong")</f>
        <v/>
      </c>
    </row>
    <row r="32" ht="15" customHeight="1">
      <c r="A32" t="inlineStr">
        <is>
          <t>B18</t>
        </is>
      </c>
      <c r="B32" t="inlineStr">
        <is>
          <t>Nghiên cứu viên 15</t>
        </is>
      </c>
      <c r="F32">
        <f>IF(ISBLANK(C32), "⚪ Tùy chọn (Trống)", "✅ Xong")</f>
        <v/>
      </c>
    </row>
    <row r="33">
      <c r="A33" t="inlineStr">
        <is>
          <t>B19</t>
        </is>
      </c>
      <c r="B33" t="inlineStr">
        <is>
          <t>Nghiên cứu viên 16</t>
        </is>
      </c>
      <c r="F33">
        <f>IF(ISBLANK(C33), "⚪ Tùy chọn (Trống)", "✅ Xong")</f>
        <v/>
      </c>
    </row>
    <row r="34">
      <c r="A34" t="inlineStr">
        <is>
          <t>B20</t>
        </is>
      </c>
      <c r="B34" t="inlineStr">
        <is>
          <t>Nghiên cứu viên 17</t>
        </is>
      </c>
      <c r="F34">
        <f>IF(ISBLANK(C34), "⚪ Tùy chọn (Trống)", "✅ Xong")</f>
        <v/>
      </c>
    </row>
    <row r="35">
      <c r="A35" s="2" t="inlineStr">
        <is>
          <t>SEC_C</t>
        </is>
      </c>
      <c r="B35" s="2" t="inlineStr">
        <is>
          <t>PHẦN C: HỘI ĐỒNG ĐẠO ĐỨC TRONG NGHIÊN CỨU (HĐ 01 - 7 THÀNH VIÊN BẮT BUỘC)</t>
        </is>
      </c>
      <c r="C35" s="2" t="n"/>
      <c r="D35" s="2" t="n"/>
      <c r="E35" s="2" t="n"/>
      <c r="F35" s="2" t="n"/>
    </row>
    <row r="36">
      <c r="A36" t="inlineStr">
        <is>
          <t>C01</t>
        </is>
      </c>
      <c r="B36" t="inlineStr">
        <is>
          <t>Chủ tịch HĐ Đạo đức (Bắt buộc)</t>
        </is>
      </c>
      <c r="C36" s="3" t="inlineStr">
        <is>
          <t>Nguyễn Công Khẩn</t>
        </is>
      </c>
      <c r="D36" s="3" t="inlineStr">
        <is>
          <t>GS.TS.</t>
        </is>
      </c>
      <c r="E36" s="3" t="inlineStr">
        <is>
          <t>Hội đồng Đạo đức Y sinh Quốc gia</t>
        </is>
      </c>
      <c r="F36">
        <f>IF(ISBLANK(C36), "❌ CHƯA ĐIỀN (BÁO LỖI)", "✅ Xong")</f>
        <v/>
      </c>
    </row>
    <row r="37">
      <c r="A37" t="inlineStr">
        <is>
          <t>C02</t>
        </is>
      </c>
      <c r="B37" t="inlineStr">
        <is>
          <t>Ủy viên Phản biện 1 (Bắt buộc)</t>
        </is>
      </c>
      <c r="C37" s="3" t="inlineStr">
        <is>
          <t>Nguyễn Xuân Ninh</t>
        </is>
      </c>
      <c r="D37" s="3" t="inlineStr">
        <is>
          <t>PGS.TS.BS.</t>
        </is>
      </c>
      <c r="E37" s="3" t="inlineStr">
        <is>
          <t>Viện Y học Ứng dụng Việt Nam</t>
        </is>
      </c>
      <c r="F37">
        <f>IF(ISBLANK(C37), "❌ CHƯA ĐIỀN (BÁO LỖI)", "✅ Xong")</f>
        <v/>
      </c>
    </row>
    <row r="38">
      <c r="A38" t="inlineStr">
        <is>
          <t>C03</t>
        </is>
      </c>
      <c r="B38" t="inlineStr">
        <is>
          <t>Ủy viên Phản biện 2 (Bắt buộc)</t>
        </is>
      </c>
      <c r="C38" s="3" t="inlineStr">
        <is>
          <t>Lê Bạch Mai</t>
        </is>
      </c>
      <c r="D38" s="3" t="inlineStr">
        <is>
          <t>PGS.TS.BS.</t>
        </is>
      </c>
      <c r="E38" s="3" t="inlineStr">
        <is>
          <t>Nguyên Phó Viện trưởng Viện Dinh dưỡng QG</t>
        </is>
      </c>
      <c r="F38">
        <f>IF(ISBLANK(C38), "❌ CHƯA ĐIỀN (BÁO LỖI)", "✅ Xong")</f>
        <v/>
      </c>
    </row>
    <row r="39">
      <c r="A39" t="inlineStr">
        <is>
          <t>C04</t>
        </is>
      </c>
      <c r="B39" t="inlineStr">
        <is>
          <t>Ủy viên HĐ Đạo đức 1 (Bắt buộc)</t>
        </is>
      </c>
      <c r="C39" s="3" t="inlineStr">
        <is>
          <t>Nguyễn Thị Lâm</t>
        </is>
      </c>
      <c r="D39" s="3" t="inlineStr">
        <is>
          <t>PGS.TS.BS.</t>
        </is>
      </c>
      <c r="E39" s="3" t="inlineStr">
        <is>
          <t>Nguyên Phó Viện trưởng Viện Dinh dưỡng QG</t>
        </is>
      </c>
      <c r="F39">
        <f>IF(ISBLANK(C39), "❌ CHƯA ĐIỀN (BÁO LỖI)", "✅ Xong")</f>
        <v/>
      </c>
    </row>
    <row r="40">
      <c r="A40" t="inlineStr">
        <is>
          <t>C05</t>
        </is>
      </c>
      <c r="B40" t="inlineStr">
        <is>
          <t>Ủy viên HĐ Đạo đức 2 (Bắt buộc)</t>
        </is>
      </c>
      <c r="C40" s="3" t="inlineStr">
        <is>
          <t>Nguyễn Quang Dũng</t>
        </is>
      </c>
      <c r="D40" s="3" t="inlineStr">
        <is>
          <t>PGS.TS.BS.</t>
        </is>
      </c>
      <c r="E40" s="3" t="inlineStr">
        <is>
          <t>Bộ môn Dinh dưỡng - ĐH Y Hà Nội</t>
        </is>
      </c>
      <c r="F40">
        <f>IF(ISBLANK(C40), "❌ CHƯA ĐIỀN (BÁO LỖI)", "✅ Xong")</f>
        <v/>
      </c>
    </row>
    <row r="41">
      <c r="A41" t="inlineStr">
        <is>
          <t>C06</t>
        </is>
      </c>
      <c r="B41" t="inlineStr">
        <is>
          <t>Ủy viên Phản biện 3 (Tùy chọn)</t>
        </is>
      </c>
      <c r="F41">
        <f>IF(ISBLANK(C41), "⚪ Tùy chọn (Trống)", "✅ Xong")</f>
        <v/>
      </c>
    </row>
    <row r="42">
      <c r="A42" t="inlineStr">
        <is>
          <t>C07</t>
        </is>
      </c>
      <c r="B42" t="inlineStr">
        <is>
          <t>Ủy viên HĐ Đạo đức 3 (Tùy chọn)</t>
        </is>
      </c>
      <c r="F42">
        <f>IF(ISBLANK(C42), "⚪ Tùy chọn (Trống)", "✅ Xong")</f>
        <v/>
      </c>
    </row>
    <row r="43" ht="15" customHeight="1">
      <c r="A43" t="inlineStr">
        <is>
          <t>C08</t>
        </is>
      </c>
      <c r="B43" t="inlineStr">
        <is>
          <t>Ủy viên HĐ Đạo đức 4 (Tùy chọn)</t>
        </is>
      </c>
      <c r="F43">
        <f>IF(ISBLANK(C43), "⚪ Tùy chọn (Trống)", "✅ Xong")</f>
        <v/>
      </c>
    </row>
    <row r="44">
      <c r="A44" t="inlineStr">
        <is>
          <t>C09</t>
        </is>
      </c>
      <c r="B44" t="inlineStr">
        <is>
          <t>Thư ký HĐ Đạo đức 1 (Bắt buộc)</t>
        </is>
      </c>
      <c r="C44" s="3" t="inlineStr">
        <is>
          <t>Hoàng Hà Linh</t>
        </is>
      </c>
      <c r="D44" s="3" t="inlineStr">
        <is>
          <t>Thạc sĩ</t>
        </is>
      </c>
      <c r="E44" s="3" t="inlineStr">
        <is>
          <t>Trung tâm NCKH - Viện VIAM</t>
        </is>
      </c>
      <c r="F44">
        <f>IF(ISBLANK(C44), "❌ CHƯA ĐIỀN (BÁO LỖI)", "✅ Xong")</f>
        <v/>
      </c>
    </row>
    <row r="45">
      <c r="A45" t="inlineStr">
        <is>
          <t>C10</t>
        </is>
      </c>
      <c r="B45" t="inlineStr">
        <is>
          <t>Thư ký HĐ Đạo đức 2 (Bắt buộc)</t>
        </is>
      </c>
      <c r="C45" s="3" t="inlineStr">
        <is>
          <t>Trương Phan Hồng Hà</t>
        </is>
      </c>
      <c r="D45" s="3" t="inlineStr">
        <is>
          <t>Thạc sĩ</t>
        </is>
      </c>
      <c r="E45" s="3" t="inlineStr">
        <is>
          <t>Viện Y học Ứng dụng Việt Nam</t>
        </is>
      </c>
      <c r="F45">
        <f>IF(ISBLANK(C45), "❌ CHƯA ĐIỀN (BÁO LỖI)", "✅ Xong")</f>
        <v/>
      </c>
    </row>
    <row r="46">
      <c r="A46" s="2" t="inlineStr">
        <is>
          <t>SEC_D</t>
        </is>
      </c>
      <c r="B46" s="2" t="inlineStr">
        <is>
          <t>PHẦN D: HỘI ĐỒNG KHOA HỌC XÉT DUYỆT ĐỀ CƯƠNG (HĐ 02 - 7 THÀNH VIÊN BẮT BUỘC)</t>
        </is>
      </c>
      <c r="C46" s="2" t="n"/>
      <c r="D46" s="2" t="n"/>
      <c r="E46" s="2" t="n"/>
      <c r="F46" s="2" t="n"/>
    </row>
    <row r="47">
      <c r="A47" t="inlineStr">
        <is>
          <t>D01</t>
        </is>
      </c>
      <c r="B47" t="inlineStr">
        <is>
          <t>Chủ tịch HĐ Đề cương (Bắt buộc)</t>
        </is>
      </c>
      <c r="C47" s="3" t="inlineStr">
        <is>
          <t>Nguyễn Công Khẩn</t>
        </is>
      </c>
      <c r="D47" s="3" t="inlineStr">
        <is>
          <t>GS.TS.</t>
        </is>
      </c>
      <c r="E47" s="3" t="inlineStr">
        <is>
          <t>Hội đồng Đạo đức Y sinh Quốc gia</t>
        </is>
      </c>
      <c r="F47">
        <f>IF(ISBLANK(C47), "❌ CHƯA ĐIỀN (BÁO LỖI)", "✅ Xong")</f>
        <v/>
      </c>
    </row>
    <row r="48">
      <c r="A48" t="inlineStr">
        <is>
          <t>D02</t>
        </is>
      </c>
      <c r="B48" t="inlineStr">
        <is>
          <t>Ủy viên Phản biện 1 (Bắt buộc)</t>
        </is>
      </c>
      <c r="C48" s="3" t="inlineStr">
        <is>
          <t>Nguyễn Xuân Ninh</t>
        </is>
      </c>
      <c r="D48" s="3" t="inlineStr">
        <is>
          <t>PGS.TS.BS.</t>
        </is>
      </c>
      <c r="E48" s="3" t="inlineStr">
        <is>
          <t>Viện Y học Ứng dụng Việt Nam</t>
        </is>
      </c>
      <c r="F48">
        <f>IF(ISBLANK(C48), "❌ CHƯA ĐIỀN (BÁO LỖI)", "✅ Xong")</f>
        <v/>
      </c>
    </row>
    <row r="49">
      <c r="A49" t="inlineStr">
        <is>
          <t>D03</t>
        </is>
      </c>
      <c r="B49" t="inlineStr">
        <is>
          <t>Ủy viên Phản biện 2 (Bắt buộc)</t>
        </is>
      </c>
      <c r="C49" s="3" t="inlineStr">
        <is>
          <t>Trần Quang Trung</t>
        </is>
      </c>
      <c r="D49" s="3" t="inlineStr">
        <is>
          <t>PGS.TS.</t>
        </is>
      </c>
      <c r="E49" s="3" t="inlineStr">
        <is>
          <t>Hiệp hội Sữa Việt Nam</t>
        </is>
      </c>
      <c r="F49">
        <f>IF(ISBLANK(C49), "❌ CHƯA ĐIỀN (BÁO LỖI)", "✅ Xong")</f>
        <v/>
      </c>
    </row>
    <row r="50">
      <c r="A50" t="inlineStr">
        <is>
          <t>D04</t>
        </is>
      </c>
      <c r="B50" t="inlineStr">
        <is>
          <t>Ủy viên HĐ Đề cương 1 (Bắt buộc)</t>
        </is>
      </c>
      <c r="C50" s="3" t="inlineStr">
        <is>
          <t>Lê Bạch Mai</t>
        </is>
      </c>
      <c r="D50" s="3" t="inlineStr">
        <is>
          <t>PGS.TS.BS.</t>
        </is>
      </c>
      <c r="E50" s="3" t="inlineStr">
        <is>
          <t>Nguyên Phó Viện trưởng Viện Dinh dưỡng QG</t>
        </is>
      </c>
      <c r="F50">
        <f>IF(ISBLANK(C50), "❌ CHƯA ĐIỀN (BÁO LỖI)", "✅ Xong")</f>
        <v/>
      </c>
    </row>
    <row r="51">
      <c r="A51" t="inlineStr">
        <is>
          <t>D05</t>
        </is>
      </c>
      <c r="B51" t="inlineStr">
        <is>
          <t>Ủy viên HĐ Đề cương 2 (Bắt buộc)</t>
        </is>
      </c>
      <c r="C51" s="3" t="inlineStr">
        <is>
          <t>Nguyễn Thị Lâm</t>
        </is>
      </c>
      <c r="D51" s="3" t="inlineStr">
        <is>
          <t>PGS.TS.BS.</t>
        </is>
      </c>
      <c r="E51" s="3" t="inlineStr">
        <is>
          <t>Nguyên Phó Viện trưởng Viện Dinh dưỡng QG</t>
        </is>
      </c>
      <c r="F51">
        <f>IF(ISBLANK(C51), "❌ CHƯA ĐIỀN (BÁO LỖI)", "✅ Xong")</f>
        <v/>
      </c>
    </row>
    <row r="52">
      <c r="A52" t="inlineStr">
        <is>
          <t>D06</t>
        </is>
      </c>
      <c r="B52" t="inlineStr">
        <is>
          <t>Ủy viên Phản biện 3 (Tùy chọn)</t>
        </is>
      </c>
      <c r="F52">
        <f>IF(ISBLANK(C52), "⚪ Tùy chọn (Trống)", "✅ Xong")</f>
        <v/>
      </c>
    </row>
    <row r="53">
      <c r="A53" t="inlineStr">
        <is>
          <t>D07</t>
        </is>
      </c>
      <c r="B53" t="inlineStr">
        <is>
          <t>Ủy viên HĐ Đề cương 3 (Tùy chọn)</t>
        </is>
      </c>
      <c r="F53">
        <f>IF(ISBLANK(C53), "⚪ Tùy chọn (Trống)", "✅ Xong")</f>
        <v/>
      </c>
    </row>
    <row r="54" ht="15" customHeight="1">
      <c r="A54" t="inlineStr">
        <is>
          <t>D08</t>
        </is>
      </c>
      <c r="B54" t="inlineStr">
        <is>
          <t>Ủy viên HĐ Đề cương 4 (Tùy chọn)</t>
        </is>
      </c>
      <c r="F54">
        <f>IF(ISBLANK(C54), "⚪ Tùy chọn (Trống)", "✅ Xong")</f>
        <v/>
      </c>
    </row>
    <row r="55">
      <c r="A55" t="inlineStr">
        <is>
          <t>D09</t>
        </is>
      </c>
      <c r="B55" t="inlineStr">
        <is>
          <t>Thư ký HĐ Đề cương 1 (Bắt buộc)</t>
        </is>
      </c>
      <c r="C55" s="3" t="inlineStr">
        <is>
          <t>Hoàng Hà Linh</t>
        </is>
      </c>
      <c r="D55" s="3" t="inlineStr">
        <is>
          <t>Thạc sĩ</t>
        </is>
      </c>
      <c r="E55" s="3" t="inlineStr">
        <is>
          <t>Trung tâm NCKH - Viện VIAM</t>
        </is>
      </c>
      <c r="F55">
        <f>IF(ISBLANK(C55), "❌ CHƯA ĐIỀN (BÁO LỖI)", "✅ Xong")</f>
        <v/>
      </c>
    </row>
    <row r="56">
      <c r="A56" t="inlineStr">
        <is>
          <t>D10</t>
        </is>
      </c>
      <c r="B56" t="inlineStr">
        <is>
          <t>Thư ký HĐ Đề cương 2 (Bắt buộc)</t>
        </is>
      </c>
      <c r="C56" s="3" t="inlineStr">
        <is>
          <t>Trương Phan Hồng Hà</t>
        </is>
      </c>
      <c r="D56" s="3" t="inlineStr">
        <is>
          <t>Thạc sĩ</t>
        </is>
      </c>
      <c r="E56" s="3" t="inlineStr">
        <is>
          <t>Viện Y học Ứng dụng Việt Nam</t>
        </is>
      </c>
      <c r="F56">
        <f>IF(ISBLANK(C56), "❌ CHƯA ĐIỀN (BÁO LỖI)", "✅ Xong")</f>
        <v/>
      </c>
    </row>
    <row r="57">
      <c r="A57" s="2" t="inlineStr">
        <is>
          <t>SEC_E</t>
        </is>
      </c>
      <c r="B57" s="2" t="inlineStr">
        <is>
          <t>PHẦN E: HỘI ĐỒNG ĐÁNH GIÁ NGHIỆM THU (HĐ 03 - 7 THÀNH VIÊN BẮT BUỘC)</t>
        </is>
      </c>
      <c r="C57" s="2" t="n"/>
      <c r="D57" s="2" t="n"/>
      <c r="E57" s="2" t="n"/>
      <c r="F57" s="2" t="n"/>
    </row>
    <row r="58">
      <c r="A58" t="inlineStr">
        <is>
          <t>E01</t>
        </is>
      </c>
      <c r="B58" t="inlineStr">
        <is>
          <t>Chủ tịch HĐ Nghiệm thu (Bắt buộc)</t>
        </is>
      </c>
      <c r="C58" s="3" t="inlineStr">
        <is>
          <t>Phạm Văn Hoàn</t>
        </is>
      </c>
      <c r="D58" s="3" t="inlineStr">
        <is>
          <t>PGS.TS.</t>
        </is>
      </c>
      <c r="E58" s="3" t="inlineStr">
        <is>
          <t>Viện Y học Ứng dụng Việt Nam</t>
        </is>
      </c>
      <c r="F58">
        <f>IF(ISBLANK(C58), "❌ CHƯA ĐIỀN (BÁO LỖI)", "✅ Xong")</f>
        <v/>
      </c>
    </row>
    <row r="59">
      <c r="A59" t="inlineStr">
        <is>
          <t>E02</t>
        </is>
      </c>
      <c r="B59" t="inlineStr">
        <is>
          <t>Ủy viên Phản biện 1 (Bắt buộc)</t>
        </is>
      </c>
      <c r="C59" s="3" t="inlineStr">
        <is>
          <t>Nguyễn Công Khẩn</t>
        </is>
      </c>
      <c r="D59" s="3" t="inlineStr">
        <is>
          <t>GS.TS.</t>
        </is>
      </c>
      <c r="E59" s="3" t="inlineStr">
        <is>
          <t>Hội đồng Đạo đức Y sinh Quốc gia</t>
        </is>
      </c>
      <c r="F59">
        <f>IF(ISBLANK(C59), "❌ CHƯA ĐIỀN (BÁO LỖI)", "✅ Xong")</f>
        <v/>
      </c>
    </row>
    <row r="60">
      <c r="A60" t="inlineStr">
        <is>
          <t>E03</t>
        </is>
      </c>
      <c r="B60" t="inlineStr">
        <is>
          <t>Ủy viên Phản biện 2 (Bắt buộc)</t>
        </is>
      </c>
      <c r="C60" s="3" t="inlineStr">
        <is>
          <t>Nguyễn Thị Lâm</t>
        </is>
      </c>
      <c r="D60" s="3" t="inlineStr">
        <is>
          <t>PGS.TS.BS.</t>
        </is>
      </c>
      <c r="E60" s="3" t="inlineStr">
        <is>
          <t>Nguyên Phó Viện trưởng Viện Dinh dưỡng QG</t>
        </is>
      </c>
      <c r="F60">
        <f>IF(ISBLANK(C60), "❌ CHƯA ĐIỀN (BÁO LỖI)", "✅ Xong")</f>
        <v/>
      </c>
    </row>
    <row r="61">
      <c r="A61" t="inlineStr">
        <is>
          <t>E04</t>
        </is>
      </c>
      <c r="B61" t="inlineStr">
        <is>
          <t>Ủy viên HĐ Nghiệm thu 1 (Bắt buộc)</t>
        </is>
      </c>
      <c r="C61" s="3" t="inlineStr">
        <is>
          <t>Ninh Thị Nhung</t>
        </is>
      </c>
      <c r="D61" s="3" t="inlineStr">
        <is>
          <t>PGS.TS.</t>
        </is>
      </c>
      <c r="E61" s="3" t="inlineStr">
        <is>
          <t>Trường Đại học Y Dược Thái Bình</t>
        </is>
      </c>
      <c r="F61">
        <f>IF(ISBLANK(C61), "❌ CHƯA ĐIỀN (BÁO LỖI)", "✅ Xong")</f>
        <v/>
      </c>
    </row>
    <row r="62">
      <c r="A62" t="inlineStr">
        <is>
          <t>E05</t>
        </is>
      </c>
      <c r="B62" t="inlineStr">
        <is>
          <t>Ủy viên HĐ Nghiệm thu 2 (Bắt buộc)</t>
        </is>
      </c>
      <c r="C62" s="3" t="inlineStr">
        <is>
          <t>Trần Văn Ơn</t>
        </is>
      </c>
      <c r="D62" s="3" t="inlineStr">
        <is>
          <t>PGS.TS.</t>
        </is>
      </c>
      <c r="E62" s="3" t="inlineStr">
        <is>
          <t>Trường Đại học Dược Hà Nội</t>
        </is>
      </c>
      <c r="F62">
        <f>IF(ISBLANK(C62), "❌ CHƯA ĐIỀN (BÁO LỖI)", "✅ Xong")</f>
        <v/>
      </c>
    </row>
    <row r="63">
      <c r="A63" t="inlineStr">
        <is>
          <t>E06</t>
        </is>
      </c>
      <c r="B63" t="inlineStr">
        <is>
          <t>Ủy viên Phản biện 3 (Tùy chọn)</t>
        </is>
      </c>
      <c r="F63">
        <f>IF(ISBLANK(C63), "⚪ Tùy chọn (Trống)", "✅ Xong")</f>
        <v/>
      </c>
    </row>
    <row r="64">
      <c r="A64" t="inlineStr">
        <is>
          <t>E07</t>
        </is>
      </c>
      <c r="B64" t="inlineStr">
        <is>
          <t>Ủy viên HĐ Nghiệm thu 3 (Tùy chọn)</t>
        </is>
      </c>
      <c r="F64">
        <f>IF(ISBLANK(C64), "⚪ Tùy chọn (Trống)", "✅ Xong")</f>
        <v/>
      </c>
    </row>
    <row r="65" ht="15" customHeight="1">
      <c r="A65" t="inlineStr">
        <is>
          <t>E08</t>
        </is>
      </c>
      <c r="B65" t="inlineStr">
        <is>
          <t>Ủy viên HĐ Nghiệm thu 4 (Tùy chọn)</t>
        </is>
      </c>
      <c r="F65">
        <f>IF(ISBLANK(C65), "⚪ Tùy chọn (Trống)", "✅ Xong")</f>
        <v/>
      </c>
    </row>
    <row r="66">
      <c r="A66" t="inlineStr">
        <is>
          <t>E09</t>
        </is>
      </c>
      <c r="B66" t="inlineStr">
        <is>
          <t>Thư ký HĐ Nghiệm thu 1 (Bắt buộc)</t>
        </is>
      </c>
      <c r="C66" s="3" t="inlineStr">
        <is>
          <t>Hoàng Hà Linh</t>
        </is>
      </c>
      <c r="D66" s="3" t="inlineStr">
        <is>
          <t>PGS.TS.BS.</t>
        </is>
      </c>
      <c r="E66" s="3" t="inlineStr">
        <is>
          <t>Viện Y học Ứng dụng Việt Nam</t>
        </is>
      </c>
      <c r="F66">
        <f>IF(ISBLANK(C66), "❌ CHƯA ĐIỀN (BÁO LỖI)", "✅ Xong")</f>
        <v/>
      </c>
    </row>
    <row r="67">
      <c r="A67" t="inlineStr">
        <is>
          <t>E10</t>
        </is>
      </c>
      <c r="B67" t="inlineStr">
        <is>
          <t>Thư ký HĐ Nghiệm thu 2 (Bắt buộc)</t>
        </is>
      </c>
      <c r="C67" s="3" t="inlineStr">
        <is>
          <t>Trương Phan Hồng Hà</t>
        </is>
      </c>
      <c r="D67" s="3" t="inlineStr">
        <is>
          <t>Thạc sĩ</t>
        </is>
      </c>
      <c r="E67" s="3" t="inlineStr">
        <is>
          <t>Viện Y học Ứng dụng Việt Nam</t>
        </is>
      </c>
      <c r="F67">
        <f>IF(ISBLANK(C67), "❌ CHƯA ĐIỀN (BÁO LỖI)", "✅ Xong")</f>
        <v/>
      </c>
    </row>
    <row r="68">
      <c r="A68" s="2" t="inlineStr">
        <is>
          <t>SEC_F</t>
        </is>
      </c>
      <c r="B68" s="2" t="inlineStr">
        <is>
          <t>PHẦN F: LÝ LỊCH KHOA HỌC CHUYÊN GIA (CV CHỦ NHIỆM BẮT BUỘC &amp; CV THÀNH VIÊN TÙY CHỌN)</t>
        </is>
      </c>
      <c r="C68" s="2" t="n"/>
      <c r="D68" s="2" t="n"/>
      <c r="E68" s="2" t="n"/>
      <c r="F68" s="2" t="n"/>
    </row>
    <row r="69">
      <c r="A69" t="inlineStr">
        <is>
          <t>F01</t>
        </is>
      </c>
      <c r="B69" t="inlineStr">
        <is>
          <t>Hồ sơ Chủ nhiệm đề tài (Bắt buộc - File mặc định cho HĐ Đạo đức)</t>
        </is>
      </c>
      <c r="C69" s="3" t="inlineStr">
        <is>
          <t>Trương Hồng Sơn</t>
        </is>
      </c>
      <c r="D69" s="3" t="inlineStr">
        <is>
          <t>Chủ nhiệm đề tài</t>
        </is>
      </c>
      <c r="E69" s="3" t="inlineStr">
        <is>
          <t>Lý lịch khoa học - Trương Hồng Sơn.docx</t>
        </is>
      </c>
      <c r="F69">
        <f>IF(ISBLANK(C69), "❌ CHƯA ĐIỀN THÔNG TIN CNĐT (BÁO LỖI)", "✅ Đã khai chủ nhiệm đề tài - CV sẽ tự khớp theo tên")</f>
        <v/>
      </c>
    </row>
    <row r="70">
      <c r="A70" t="inlineStr">
        <is>
          <t>F02</t>
        </is>
      </c>
      <c r="B70" t="inlineStr">
        <is>
          <t>Hồ sơ Đồng Chủ nhiệm (Tùy chọn)</t>
        </is>
      </c>
      <c r="F70">
        <f>IF(ISBLANK(C70), "⚪ Tùy chọn (Trống)", "✅ Đã khai tên - CV sẽ tự khớp theo tên")</f>
        <v/>
      </c>
    </row>
    <row r="71">
      <c r="A71" t="inlineStr">
        <is>
          <t>F03</t>
        </is>
      </c>
      <c r="B71" t="inlineStr">
        <is>
          <t>Hồ sơ Thư ký Đề tài (Tùy chọn)</t>
        </is>
      </c>
      <c r="F71">
        <f>IF(ISBLANK(C71), "⚪ Tùy chọn (Trống)", "✅ Đã khai tên - CV sẽ tự khớp theo tên")</f>
        <v/>
      </c>
    </row>
    <row r="72">
      <c r="A72" t="inlineStr">
        <is>
          <t>F04</t>
        </is>
      </c>
      <c r="B72" t="inlineStr">
        <is>
          <t>Hồ sơ Chuyên gia / Thành viên 4 (Tùy chọn)</t>
        </is>
      </c>
      <c r="F72">
        <f>IF(ISBLANK(C72), "⚪ Tùy chọn (Trống)", "✅ Đã khai tên - CV sẽ tự khớp theo tên")</f>
        <v/>
      </c>
    </row>
    <row r="73">
      <c r="A73" t="inlineStr">
        <is>
          <t>F05</t>
        </is>
      </c>
      <c r="B73" t="inlineStr">
        <is>
          <t>Hồ sơ Chuyên gia / Thành viên 5 (Tùy chọn)</t>
        </is>
      </c>
      <c r="F73">
        <f>IF(ISBLANK(C73), "⚪ Tùy chọn (Trống)", "✅ Đã khai tên - CV sẽ tự khớp theo tên")</f>
        <v/>
      </c>
    </row>
    <row r="74">
      <c r="A74" t="inlineStr">
        <is>
          <t>F06</t>
        </is>
      </c>
      <c r="B74" t="inlineStr">
        <is>
          <t>Hồ sơ Chuyên gia / Thành viên 6 (Tùy chọn)</t>
        </is>
      </c>
      <c r="F74">
        <f>IF(ISBLANK(C74), "⚪ Tùy chọn (Trống)", "✅ Đã khai tên - CV sẽ tự khớp theo tên")</f>
        <v/>
      </c>
    </row>
    <row r="75">
      <c r="A75" t="inlineStr">
        <is>
          <t>F07</t>
        </is>
      </c>
      <c r="B75" t="inlineStr">
        <is>
          <t>Hồ sơ Chuyên gia / Thành viên 7 (Tùy chọn)</t>
        </is>
      </c>
      <c r="F75">
        <f>IF(ISBLANK(C75), "⚪ Tùy chọn (Trống)", "✅ Đã khai tên - CV sẽ tự khớp theo tên")</f>
        <v/>
      </c>
    </row>
    <row r="76">
      <c r="A76" t="inlineStr">
        <is>
          <t>F08</t>
        </is>
      </c>
      <c r="B76" t="inlineStr">
        <is>
          <t>Hồ sơ Chuyên gia / Thành viên 8 (Tùy chọn)</t>
        </is>
      </c>
      <c r="F76">
        <f>IF(ISBLANK(C76), "⚪ Tùy chọn (Trống)", "✅ Đã khai tên - CV sẽ tự khớp theo tên")</f>
        <v/>
      </c>
    </row>
    <row r="77">
      <c r="A77" t="inlineStr">
        <is>
          <t>F09</t>
        </is>
      </c>
      <c r="B77" t="inlineStr">
        <is>
          <t>Hồ sơ Chuyên gia / Thành viên 9 (Tùy chọn)</t>
        </is>
      </c>
      <c r="F77">
        <f>IF(ISBLANK(C77), "⚪ Tùy chọn (Trống)", "✅ Đã khai tên - CV sẽ tự khớp theo tên")</f>
        <v/>
      </c>
    </row>
    <row r="78">
      <c r="A78" t="inlineStr">
        <is>
          <t>F10</t>
        </is>
      </c>
      <c r="B78" t="inlineStr">
        <is>
          <t>Hồ sơ Chuyên gia / Thành viên 10 (Tùy chọn)</t>
        </is>
      </c>
      <c r="F78">
        <f>IF(ISBLANK(C78), "⚪ Tùy chọn (Trống)", "✅ Đã khai tên - CV sẽ tự khớp theo tên")</f>
        <v/>
      </c>
    </row>
    <row r="79">
      <c r="A79" s="7" t="inlineStr">
        <is>
          <t>SEC_G</t>
        </is>
      </c>
      <c r="B79" s="7" t="inlineStr">
        <is>
          <t>PHẦN G: SỐ VĂN BẢN, NGÀY KÝ, BỐI CẢNH &amp; LỊCH HỌP (TÙY CHỌN - ĐỂ TRỐNG SẼ GIỮ NGUYÊN DẤU CHẤM LỬNG)</t>
        </is>
      </c>
      <c r="C79" s="7" t="n"/>
      <c r="D79" s="7" t="n"/>
      <c r="E79" s="7" t="n"/>
    </row>
    <row r="80">
      <c r="A80" s="8" t="inlineStr">
        <is>
          <t>G01</t>
        </is>
      </c>
      <c r="B80" s="8" t="inlineStr">
        <is>
          <t>Bối cảnh / lý do triển khai đề tài (Điền nội dung hoặc để trống)</t>
        </is>
      </c>
      <c r="C80" s="8" t="n"/>
      <c r="D80" s="8" t="inlineStr">
        <is>
          <t>Token: {{BOI_CANH_DU_AN}}</t>
        </is>
      </c>
      <c r="E80" s="8" t="n"/>
    </row>
    <row r="81">
      <c r="A81" s="8" t="inlineStr">
        <is>
          <t>G02</t>
        </is>
      </c>
      <c r="B81" s="8" t="inlineStr">
        <is>
          <t>Địa điểm họp Hội đồng (Tùy chọn - Để trống dùng địa chỉ Viện)</t>
        </is>
      </c>
      <c r="C81" s="8" t="n"/>
      <c r="D81" s="8" t="inlineStr">
        <is>
          <t>Token: {{DIA_DIEM_HOP}}</t>
        </is>
      </c>
      <c r="E81" s="8" t="n"/>
    </row>
    <row r="82">
      <c r="A82" s="8" t="inlineStr">
        <is>
          <t>G03</t>
        </is>
      </c>
      <c r="B82" s="8" t="inlineStr">
        <is>
          <t>Thời gian họp chung (giờ, ngày tháng - Tùy chọn)</t>
        </is>
      </c>
      <c r="C82" s="8" t="n"/>
      <c r="D82" s="8" t="inlineStr">
        <is>
          <t>Token: {{THOI_GIAN_HOP}}</t>
        </is>
      </c>
      <c r="E82" s="8" t="n"/>
    </row>
    <row r="83">
      <c r="A83" s="8" t="inlineStr">
        <is>
          <t>G04</t>
        </is>
      </c>
      <c r="B83" s="8" t="inlineStr">
        <is>
          <t>Số công văn mời chuyên gia (Tùy chọn)</t>
        </is>
      </c>
      <c r="C83" s="8" t="n"/>
      <c r="D83" s="8" t="inlineStr">
        <is>
          <t>Token: {{SO_CONG_VAN}}</t>
        </is>
      </c>
      <c r="E83" s="8" t="n"/>
    </row>
    <row r="84">
      <c r="A84" s="8" t="inlineStr">
        <is>
          <t>G05</t>
        </is>
      </c>
      <c r="B84" s="8" t="inlineStr">
        <is>
          <t>Ngày ký công văn mời chuyên gia (Tùy chọn)</t>
        </is>
      </c>
      <c r="C84" s="9" t="n"/>
      <c r="D84" s="8" t="inlineStr">
        <is>
          <t>Định dạng: DD/MM/YYYY</t>
        </is>
      </c>
      <c r="E84" s="8" t="n"/>
    </row>
    <row r="85">
      <c r="A85" s="8" t="inlineStr">
        <is>
          <t>G06</t>
        </is>
      </c>
      <c r="B85" s="8" t="inlineStr">
        <is>
          <t>Số Quyết định giao đề tài - Mẫu 00 (Tùy chọn)</t>
        </is>
      </c>
      <c r="C85" s="8" t="n"/>
      <c r="D85" s="8" t="inlineStr">
        <is>
          <t>Token: {{SO_QD_GIAO_DE_TAI}}</t>
        </is>
      </c>
      <c r="E85" s="8" t="n"/>
    </row>
    <row r="86">
      <c r="A86" s="8" t="inlineStr">
        <is>
          <t>G07</t>
        </is>
      </c>
      <c r="B86" s="8" t="inlineStr">
        <is>
          <t>Ngày ký QĐ giao đề tài (Tùy chọn)</t>
        </is>
      </c>
      <c r="C86" s="9" t="n"/>
      <c r="D86" s="8" t="inlineStr">
        <is>
          <t>Định dạng: DD/MM/YYYY</t>
        </is>
      </c>
      <c r="E86" s="8" t="n"/>
    </row>
    <row r="87">
      <c r="A87" s="8" t="inlineStr">
        <is>
          <t>G08</t>
        </is>
      </c>
      <c r="B87" s="8" t="inlineStr">
        <is>
          <t>Số QĐ TLHĐ Đạo đức - Mẫu 01 (Tùy chọn)</t>
        </is>
      </c>
      <c r="C87" s="8" t="n"/>
      <c r="D87" s="8" t="inlineStr">
        <is>
          <t>Token: {{SO_QD_TLHD_DAO_DUC}}</t>
        </is>
      </c>
      <c r="E87" s="8" t="n"/>
    </row>
    <row r="88">
      <c r="A88" s="8" t="inlineStr">
        <is>
          <t>G09</t>
        </is>
      </c>
      <c r="B88" s="8" t="inlineStr">
        <is>
          <t>Ngày ký QĐ TLHĐ Đạo đức (Tùy chọn)</t>
        </is>
      </c>
      <c r="C88" s="9" t="n"/>
      <c r="D88" s="8" t="inlineStr">
        <is>
          <t>Định dạng: DD/MM/YYYY</t>
        </is>
      </c>
      <c r="E88" s="8" t="n"/>
    </row>
    <row r="89">
      <c r="A89" s="8" t="inlineStr">
        <is>
          <t>G10</t>
        </is>
      </c>
      <c r="B89" s="8" t="inlineStr">
        <is>
          <t>Số QĐ TLHĐ Khoa học - Mẫu 05 (Tùy chọn)</t>
        </is>
      </c>
      <c r="C89" s="8" t="n"/>
      <c r="D89" s="8" t="inlineStr">
        <is>
          <t>Token: {{SO_QD_TLHD_KHOA_HOC}}</t>
        </is>
      </c>
      <c r="E89" s="8" t="n"/>
    </row>
    <row r="90">
      <c r="A90" s="8" t="inlineStr">
        <is>
          <t>G11</t>
        </is>
      </c>
      <c r="B90" s="8" t="inlineStr">
        <is>
          <t>Ngày ký QĐ TLHĐ Khoa học (Tùy chọn)</t>
        </is>
      </c>
      <c r="C90" s="9" t="n"/>
      <c r="D90" s="8" t="inlineStr">
        <is>
          <t>Định dạng: DD/MM/YYYY</t>
        </is>
      </c>
      <c r="E90" s="8" t="n"/>
    </row>
    <row r="91">
      <c r="A91" s="8" t="inlineStr">
        <is>
          <t>G12</t>
        </is>
      </c>
      <c r="B91" s="8" t="inlineStr">
        <is>
          <t>Số QĐ TLHĐ Nghiệm thu - Mẫu 9 (Tùy chọn)</t>
        </is>
      </c>
      <c r="C91" s="8" t="n"/>
      <c r="D91" s="8" t="inlineStr">
        <is>
          <t>Token: {{SO_QD_TLHD_NGHIEM_THU}}</t>
        </is>
      </c>
      <c r="E91" s="8" t="n"/>
    </row>
    <row r="92">
      <c r="A92" s="8" t="inlineStr">
        <is>
          <t>G13</t>
        </is>
      </c>
      <c r="B92" s="8" t="inlineStr">
        <is>
          <t>Ngày ký QĐ TLHĐ Nghiệm thu (Tùy chọn)</t>
        </is>
      </c>
      <c r="C92" s="9" t="n"/>
      <c r="D92" s="8" t="inlineStr">
        <is>
          <t>Định dạng: DD/MM/YYYY</t>
        </is>
      </c>
      <c r="E92" s="8" t="n"/>
    </row>
    <row r="93">
      <c r="A93" s="8" t="inlineStr">
        <is>
          <t>G14</t>
        </is>
      </c>
      <c r="B93" s="8" t="inlineStr">
        <is>
          <t>Số QĐ Phê duyệt đề tài - Mẫu 08 (Tùy chọn)</t>
        </is>
      </c>
      <c r="C93" s="8" t="n"/>
      <c r="D93" s="8" t="inlineStr">
        <is>
          <t>Token: {{SO_QD_PHE_DUYET}}</t>
        </is>
      </c>
      <c r="E93" s="8" t="n"/>
    </row>
    <row r="94">
      <c r="A94" s="8" t="inlineStr">
        <is>
          <t>G15</t>
        </is>
      </c>
      <c r="B94" s="8" t="inlineStr">
        <is>
          <t>Ngày ký QĐ Phê duyệt đề tài (Tùy chọn)</t>
        </is>
      </c>
      <c r="C94" s="9" t="n"/>
      <c r="D94" s="8" t="inlineStr">
        <is>
          <t>Định dạng: DD/MM/YYYY</t>
        </is>
      </c>
      <c r="E94" s="8" t="n"/>
    </row>
    <row r="95">
      <c r="A95" s="8" t="inlineStr">
        <is>
          <t>G16</t>
        </is>
      </c>
      <c r="B95" s="8" t="inlineStr">
        <is>
          <t>Số QĐ Công nhận kết quả - Mẫu 12 (Tùy chọn)</t>
        </is>
      </c>
      <c r="C95" s="8" t="n"/>
      <c r="D95" s="8" t="inlineStr">
        <is>
          <t>Token: {{SO_QD_CONG_NHAN}}</t>
        </is>
      </c>
      <c r="E95" s="8" t="n"/>
    </row>
    <row r="96">
      <c r="A96" s="8" t="inlineStr">
        <is>
          <t>G17</t>
        </is>
      </c>
      <c r="B96" s="8" t="inlineStr">
        <is>
          <t>Ngày ký QĐ Công nhận kết quả (Tùy chọn)</t>
        </is>
      </c>
      <c r="C96" s="9" t="n"/>
      <c r="D96" s="8" t="inlineStr">
        <is>
          <t>Định dạng: DD/MM/YYYY</t>
        </is>
      </c>
      <c r="E96" s="8" t="n"/>
    </row>
    <row r="97">
      <c r="A97" s="8" t="inlineStr">
        <is>
          <t>G18</t>
        </is>
      </c>
      <c r="B97" s="8" t="inlineStr">
        <is>
          <t>Ngày họp HĐ Đạo đức - Mẫu 02, 03 (Tùy chọn)</t>
        </is>
      </c>
      <c r="C97" s="9" t="n"/>
      <c r="D97" s="8" t="inlineStr">
        <is>
          <t>Định dạng: DD/MM/YYYY</t>
        </is>
      </c>
      <c r="E97" s="8" t="n"/>
    </row>
    <row r="98">
      <c r="A98" s="8" t="inlineStr">
        <is>
          <t>G19</t>
        </is>
      </c>
      <c r="B98" s="8" t="inlineStr">
        <is>
          <t>Ngày họp HĐ Khoa học - Mẫu 06, 07 (Tùy chọn)</t>
        </is>
      </c>
      <c r="C98" s="9" t="n"/>
      <c r="D98" s="8" t="inlineStr">
        <is>
          <t>Định dạng: DD/MM/YYYY</t>
        </is>
      </c>
      <c r="E98" s="8" t="n"/>
    </row>
    <row r="99">
      <c r="A99" s="8" t="inlineStr">
        <is>
          <t>G20</t>
        </is>
      </c>
      <c r="B99" s="8" t="inlineStr">
        <is>
          <t>Ngày họp HĐ Nghiệm thu - Mẫu 10, 11 (Tùy chọn)</t>
        </is>
      </c>
      <c r="C99" s="9" t="n"/>
      <c r="D99" s="8" t="inlineStr">
        <is>
          <t>Định dạng: DD/MM/YYYY</t>
        </is>
      </c>
      <c r="E99" s="8" t="n"/>
    </row>
  </sheetData>
  <mergeCells count="2">
    <mergeCell ref="A2:F2"/>
    <mergeCell ref="A1:F1"/>
  </mergeCells>
  <dataValidations count="5">
    <dataValidation sqref="C15 C16 C17 C18 C19 C20 C21 C22 C23 C24 C25 C26 C27 C28 C29 C30 C31 C32 C33 C34 C36 C37 C38 C39 C40 C41 C42 C43 C44 C45 C47 C48 C49 C50 C51 C52 C53 C54 C55 C56 C58 C59 C60 C61 C62 C63 C64 C65 C66 C67" showDropDown="0" showInputMessage="0" showErrorMessage="0" allowBlank="1" type="list">
      <formula1>='_NhanSu'!$A$2:$A$16</formula1>
    </dataValidation>
    <dataValidation sqref="C7" showDropDown="0" showInputMessage="0" showErrorMessage="0" allowBlank="1" type="list">
      <formula1>"Nghiên cứu can thiệp,Nghiên cứu quan sát,Thử nghiệm lâm sàng,Đánh giá hiệu quả công thức,Khác"</formula1>
    </dataValidation>
    <dataValidation sqref="D15 D16 D17 D18 D19 D20 D21 D22 D23 D24 D25 D26 D27 D28 D29 D30 D31 D32 D33 D34 D36 D37 D38 D39 D40 D41 D42 D43 D44 D45 D47 D48 D49 D50 D51 D52 D53 D54 D55 D56 D58 D59 D60 D61 D62 D63 D64 D65 D66 D67" showDropDown="0" showInputMessage="0" showErrorMessage="0" allowBlank="1" type="list">
      <formula1>"GS.TS.,PGS.TS.,TS.,ThS.,BS.CKII,BS.CKI,BS.,CN.,DS."</formula1>
    </dataValidation>
    <dataValidation sqref="A6 A7 A8 A9 A10 A11 A12 A13 A15 A16 A17 A18 A19 A20 A21 A22 A23 A24 A25 A26 A27 A28 A29 A30 A31 A32 A33 A34 A36 A37 A38 A39 A40 A41 A42 A43 A44 A45 A47 A48 A49 A50 A51 A52 A53 A54 A55 A56 A58 A59" showDropDown="0" showInputMessage="0" showErrorMessage="0" allowBlank="1" type="list">
      <formula1>='_Tokens'!$A$2:$A$38</formula1>
    </dataValidation>
    <dataValidation sqref="C84 C86 C88 C90 C92 C94 C96 C97 C98 C99" showDropDown="0" showInputMessage="1" showErrorMessage="1" allowBlank="1" errorTitle="Sai định dạng ngày" error="Vui lòng nhập ngày hợp lệ (VD: 15/03/2027 hoặc chọn từ lịch)" promptTitle="Nhập ngày" prompt="Định dạng ngày: DD/MM/YYYY" type="date" operator="greaterThanOrEqual">
      <formula1>DATE(1900,1,1)</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99"/>
  <sheetViews>
    <sheetView workbookViewId="0">
      <selection activeCell="A1" sqref="A1:F1"/>
    </sheetView>
  </sheetViews>
  <sheetFormatPr baseColWidth="8" defaultRowHeight="14.25"/>
  <cols>
    <col width="8.5" bestFit="1" customWidth="1" min="1" max="1"/>
    <col width="94.125" bestFit="1" customWidth="1" min="2" max="2"/>
    <col width="66.375" bestFit="1" customWidth="1" min="3" max="3"/>
    <col width="31.125" bestFit="1" customWidth="1" min="4" max="4"/>
    <col width="48.125" bestFit="1" customWidth="1" min="5" max="5"/>
    <col width="39.875" bestFit="1" customWidth="1" min="6" max="6"/>
  </cols>
  <sheetData>
    <row r="1" ht="19.5" customHeight="1">
      <c r="A1" s="4" t="inlineStr">
        <is>
          <t>BẢNG NHẬP THÔNG TIN VÀ CHECKLIST KIỂM TRA HỒ SƠ NGHIÊN CỨU KHOA HỌC</t>
        </is>
      </c>
    </row>
    <row r="2" ht="15.75" customHeight="1">
      <c r="A2" s="5">
        <f>IF(COUNTIF(F6:F150, "*BÁO LỖI*")&gt;0, "⚠️ BÁO LỖI: PHÁT HIỆN CHƯA CÓ FILE CV CHUYÊN GIA HOẶC THIẾU THÔNG TIN BẮT BUỘC - VUI LÒNG BỔ SUNG CÁC Ô MÀU ĐỎ DƯỚI ĐÂY", "🎉 HOÀN THÀNH 100%: TẤT CẢ THÔNG TIN &amp; FILE CV CHUYÊN GIA ĐÃ ĐẦY ĐỦ - SẴN SÀNG CHẠY RA BỘ HỒ SƠ HOÀN CHỈNH")</f>
        <v/>
      </c>
    </row>
    <row r="3"/>
    <row r="4" ht="15" customHeight="1">
      <c r="A4" s="1" t="inlineStr">
        <is>
          <t>MÃ MỤC</t>
        </is>
      </c>
      <c r="B4" s="1" t="inlineStr">
        <is>
          <t>HẠNG MỤC THÔNG TIN CẦN ĐIỀN</t>
        </is>
      </c>
      <c r="C4" s="1" t="inlineStr">
        <is>
          <t>HỌ VÀ TÊN / NỘI DUNG (Ô VÀNG BẮT BUỘC / KHÔNG NỀN TÙY CHỌN)</t>
        </is>
      </c>
      <c r="D4" s="1" t="inlineStr">
        <is>
          <t>HỌC HÀM / HỌC VỊ / TÊN FILE CV</t>
        </is>
      </c>
      <c r="E4" s="1" t="inlineStr">
        <is>
          <t>CHỨC VỤ &amp; NƠI CÔNG TÁC / ĐƯỜNG DẪN LINK CV</t>
        </is>
      </c>
      <c r="F4" s="1" t="inlineStr">
        <is>
          <t>TRẠNG THÁI KIỂM TRA (TỰ ĐỘNG)</t>
        </is>
      </c>
    </row>
    <row r="5" ht="15" customHeight="1">
      <c r="A5" s="2" t="inlineStr">
        <is>
          <t>SEC_A</t>
        </is>
      </c>
      <c r="B5" s="2" t="inlineStr">
        <is>
          <t>PHẦN A: THÔNG TIN CHUNG DỰ ÁN &amp; ĐỀ TÀI</t>
        </is>
      </c>
      <c r="C5" s="2" t="n"/>
      <c r="D5" s="2" t="n"/>
      <c r="E5" s="2" t="n"/>
      <c r="F5" s="2" t="n"/>
    </row>
    <row r="6">
      <c r="A6" t="inlineStr">
        <is>
          <t>A01</t>
        </is>
      </c>
      <c r="B6" t="inlineStr">
        <is>
          <t>Tên đề tài nghiên cứu</t>
        </is>
      </c>
      <c r="C6" s="3" t="n"/>
      <c r="D6" s="3" t="n"/>
      <c r="E6" s="3" t="n"/>
      <c r="F6">
        <f>IF(ISBLANK(C6), "❌ CHƯA ĐIỀN (BÁO LỖI)", "✅ Xong")</f>
        <v/>
      </c>
    </row>
    <row r="7">
      <c r="A7" t="inlineStr">
        <is>
          <t>A02</t>
        </is>
      </c>
      <c r="B7" t="inlineStr">
        <is>
          <t>Loại hình nghiên cứu (TVCT_ĐGHQ / TNLS)</t>
        </is>
      </c>
      <c r="C7" s="3" t="n"/>
      <c r="D7" s="3" t="n"/>
      <c r="E7" s="3" t="n"/>
      <c r="F7">
        <f>IF(ISBLANK(C7), "❌ CHƯA ĐIỀN (BÁO LỖI)", "✅ Xong")</f>
        <v/>
      </c>
    </row>
    <row r="8">
      <c r="A8" t="inlineStr">
        <is>
          <t>A03</t>
        </is>
      </c>
      <c r="B8" t="inlineStr">
        <is>
          <t>Năm thực hiện hồ sơ (Bắt buộc điền năm)</t>
        </is>
      </c>
      <c r="C8" s="3" t="n"/>
      <c r="D8" s="3" t="n"/>
      <c r="E8" s="3" t="n"/>
      <c r="F8">
        <f>IF(ISBLANK(C8), "❌ CHƯA ĐIỀN (BÁO LỖI)", "✅ Xong")</f>
        <v/>
      </c>
    </row>
    <row r="9">
      <c r="A9" t="inlineStr">
        <is>
          <t>A04</t>
        </is>
      </c>
      <c r="B9" t="inlineStr">
        <is>
          <t>Cơ quan chủ trì</t>
        </is>
      </c>
      <c r="C9" s="3" t="n"/>
      <c r="D9" s="3" t="n"/>
      <c r="E9" s="3" t="n"/>
      <c r="F9">
        <f>IF(ISBLANK(C9), "❌ CHƯA ĐIỀN (BÁO LỖI)", "✅ Xong")</f>
        <v/>
      </c>
    </row>
    <row r="10">
      <c r="A10" t="inlineStr">
        <is>
          <t>A05</t>
        </is>
      </c>
      <c r="B10" t="inlineStr">
        <is>
          <t>Thời gian triển khai NC</t>
        </is>
      </c>
      <c r="C10" s="3" t="n"/>
      <c r="D10" s="3" t="n"/>
      <c r="E10" s="3" t="n"/>
      <c r="F10">
        <f>IF(ISBLANK(C10), "❌ CHƯA ĐIỀN (BÁO LỖI)", "✅ Xong")</f>
        <v/>
      </c>
    </row>
    <row r="11" ht="15" customHeight="1">
      <c r="A11" t="inlineStr">
        <is>
          <t>A06</t>
        </is>
      </c>
      <c r="B11" t="inlineStr">
        <is>
          <t>Cơ quan phối hợp (Tùy chọn)</t>
        </is>
      </c>
      <c r="C11" s="3" t="n"/>
      <c r="D11" s="3" t="n"/>
      <c r="E11" s="3" t="n"/>
      <c r="F11">
        <f>IF(ISBLANK(C11), "⚪ Tùy chọn (Trống)", "✅ Xong")</f>
        <v/>
      </c>
    </row>
    <row r="12">
      <c r="A12" t="inlineStr">
        <is>
          <t>A07</t>
        </is>
      </c>
      <c r="B12" t="inlineStr">
        <is>
          <t>Địa điểm triển khai nghiên cứu (Tùy chọn)</t>
        </is>
      </c>
      <c r="C12" s="3" t="n"/>
      <c r="D12" s="3" t="n"/>
      <c r="E12" s="3" t="n"/>
      <c r="F12">
        <f>IF(ISBLANK(C12), "⚪ Tùy chọn (Trống)", "✅ Xong")</f>
        <v/>
      </c>
    </row>
    <row r="13">
      <c r="A13" t="inlineStr">
        <is>
          <t>A08</t>
        </is>
      </c>
      <c r="B13" t="inlineStr">
        <is>
          <t>Đầu mối liên hệ (họ tên, đơn vị, email, điện thoại - Tùy chọn)</t>
        </is>
      </c>
      <c r="C13" s="3" t="n"/>
      <c r="D13" s="3" t="n"/>
      <c r="E13" s="3" t="n"/>
      <c r="F13">
        <f>IF(ISBLANK(C13), "⚪ Tùy chọn (Trống)", "✅ Xong")</f>
        <v/>
      </c>
    </row>
    <row r="14">
      <c r="A14" s="2" t="inlineStr">
        <is>
          <t>SEC_B</t>
        </is>
      </c>
      <c r="B14" s="2" t="inlineStr">
        <is>
          <t>PHẦN B: BAN CHỦ NHIỆM &amp; NGHIÊN CỨU VIÊN ĐỀ TÀI (TỐI ĐA 20 NGƯỜI)</t>
        </is>
      </c>
      <c r="C14" s="2" t="n"/>
      <c r="D14" s="2" t="n"/>
      <c r="E14" s="2" t="n"/>
      <c r="F14" s="2" t="n"/>
    </row>
    <row r="15">
      <c r="A15" t="inlineStr">
        <is>
          <t>B01</t>
        </is>
      </c>
      <c r="B15" t="inlineStr">
        <is>
          <t>Chủ nhiệm đề tài (CNĐT - Bắt buộc)</t>
        </is>
      </c>
      <c r="C15" s="3" t="n"/>
      <c r="D15" s="3" t="inlineStr"/>
      <c r="E15" s="3" t="inlineStr"/>
      <c r="F15">
        <f>IF(ISBLANK(C15), "❌ CHƯA ĐIỀN (BÁO LỖI)", "✅ Xong")</f>
        <v/>
      </c>
    </row>
    <row r="16">
      <c r="A16" t="inlineStr">
        <is>
          <t>B02</t>
        </is>
      </c>
      <c r="B16" t="inlineStr">
        <is>
          <t>Đồng Chủ nhiệm đề tài (Tùy chọn)</t>
        </is>
      </c>
      <c r="F16">
        <f>IF(ISBLANK(C16), "⚪ Tùy chọn (Trống)", "✅ Xong")</f>
        <v/>
      </c>
    </row>
    <row r="17">
      <c r="A17" t="inlineStr">
        <is>
          <t>B03</t>
        </is>
      </c>
      <c r="B17" t="inlineStr">
        <is>
          <t>Thư ký Đề tài (Khác Thư ký HĐ - Tùy chọn)</t>
        </is>
      </c>
      <c r="F17">
        <f>IF(ISBLANK(C17), "⚪ Tùy chọn (Trống)", "✅ Xong")</f>
        <v/>
      </c>
    </row>
    <row r="18">
      <c r="A18" t="inlineStr">
        <is>
          <t>B04</t>
        </is>
      </c>
      <c r="B18" t="inlineStr">
        <is>
          <t>Nghiên cứu viên 1</t>
        </is>
      </c>
      <c r="F18">
        <f>IF(ISBLANK(C18), "⚪ Tùy chọn (Trống)", "✅ Xong")</f>
        <v/>
      </c>
    </row>
    <row r="19">
      <c r="A19" t="inlineStr">
        <is>
          <t>B05</t>
        </is>
      </c>
      <c r="B19" t="inlineStr">
        <is>
          <t>Nghiên cứu viên 2</t>
        </is>
      </c>
      <c r="F19">
        <f>IF(ISBLANK(C19), "⚪ Tùy chọn (Trống)", "✅ Xong")</f>
        <v/>
      </c>
    </row>
    <row r="20">
      <c r="A20" t="inlineStr">
        <is>
          <t>B06</t>
        </is>
      </c>
      <c r="B20" t="inlineStr">
        <is>
          <t>Nghiên cứu viên 3</t>
        </is>
      </c>
      <c r="F20">
        <f>IF(ISBLANK(C20), "⚪ Tùy chọn (Trống)", "✅ Xong")</f>
        <v/>
      </c>
    </row>
    <row r="21">
      <c r="A21" t="inlineStr">
        <is>
          <t>B07</t>
        </is>
      </c>
      <c r="B21" t="inlineStr">
        <is>
          <t>Nghiên cứu viên 4</t>
        </is>
      </c>
      <c r="F21">
        <f>IF(ISBLANK(C21), "⚪ Tùy chọn (Trống)", "✅ Xong")</f>
        <v/>
      </c>
    </row>
    <row r="22">
      <c r="A22" t="inlineStr">
        <is>
          <t>B08</t>
        </is>
      </c>
      <c r="B22" t="inlineStr">
        <is>
          <t>Nghiên cứu viên 5</t>
        </is>
      </c>
      <c r="F22">
        <f>IF(ISBLANK(C22), "⚪ Tùy chọn (Trống)", "✅ Xong")</f>
        <v/>
      </c>
    </row>
    <row r="23">
      <c r="A23" t="inlineStr">
        <is>
          <t>B09</t>
        </is>
      </c>
      <c r="B23" t="inlineStr">
        <is>
          <t>Nghiên cứu viên 6</t>
        </is>
      </c>
      <c r="F23">
        <f>IF(ISBLANK(C23), "⚪ Tùy chọn (Trống)", "✅ Xong")</f>
        <v/>
      </c>
    </row>
    <row r="24">
      <c r="A24" t="inlineStr">
        <is>
          <t>B10</t>
        </is>
      </c>
      <c r="B24" t="inlineStr">
        <is>
          <t>Nghiên cứu viên 7</t>
        </is>
      </c>
      <c r="F24">
        <f>IF(ISBLANK(C24), "⚪ Tùy chọn (Trống)", "✅ Xong")</f>
        <v/>
      </c>
    </row>
    <row r="25">
      <c r="A25" t="inlineStr">
        <is>
          <t>B11</t>
        </is>
      </c>
      <c r="B25" t="inlineStr">
        <is>
          <t>Nghiên cứu viên 8</t>
        </is>
      </c>
      <c r="F25">
        <f>IF(ISBLANK(C25), "⚪ Tùy chọn (Trống)", "✅ Xong")</f>
        <v/>
      </c>
    </row>
    <row r="26">
      <c r="A26" t="inlineStr">
        <is>
          <t>B12</t>
        </is>
      </c>
      <c r="B26" t="inlineStr">
        <is>
          <t>Nghiên cứu viên 9</t>
        </is>
      </c>
      <c r="F26">
        <f>IF(ISBLANK(C26), "⚪ Tùy chọn (Trống)", "✅ Xong")</f>
        <v/>
      </c>
    </row>
    <row r="27">
      <c r="A27" t="inlineStr">
        <is>
          <t>B13</t>
        </is>
      </c>
      <c r="B27" t="inlineStr">
        <is>
          <t>Nghiên cứu viên 10</t>
        </is>
      </c>
      <c r="F27">
        <f>IF(ISBLANK(C27), "⚪ Tùy chọn (Trống)", "✅ Xong")</f>
        <v/>
      </c>
    </row>
    <row r="28">
      <c r="A28" t="inlineStr">
        <is>
          <t>B14</t>
        </is>
      </c>
      <c r="B28" t="inlineStr">
        <is>
          <t>Nghiên cứu viên 11</t>
        </is>
      </c>
      <c r="F28">
        <f>IF(ISBLANK(C28), "⚪ Tùy chọn (Trống)", "✅ Xong")</f>
        <v/>
      </c>
    </row>
    <row r="29">
      <c r="A29" t="inlineStr">
        <is>
          <t>B15</t>
        </is>
      </c>
      <c r="B29" t="inlineStr">
        <is>
          <t>Nghiên cứu viên 12</t>
        </is>
      </c>
      <c r="F29">
        <f>IF(ISBLANK(C29), "⚪ Tùy chọn (Trống)", "✅ Xong")</f>
        <v/>
      </c>
    </row>
    <row r="30">
      <c r="A30" t="inlineStr">
        <is>
          <t>B16</t>
        </is>
      </c>
      <c r="B30" t="inlineStr">
        <is>
          <t>Nghiên cứu viên 13</t>
        </is>
      </c>
      <c r="F30">
        <f>IF(ISBLANK(C30), "⚪ Tùy chọn (Trống)", "✅ Xong")</f>
        <v/>
      </c>
    </row>
    <row r="31">
      <c r="A31" t="inlineStr">
        <is>
          <t>B17</t>
        </is>
      </c>
      <c r="B31" t="inlineStr">
        <is>
          <t>Nghiên cứu viên 14</t>
        </is>
      </c>
      <c r="F31">
        <f>IF(ISBLANK(C31), "⚪ Tùy chọn (Trống)", "✅ Xong")</f>
        <v/>
      </c>
    </row>
    <row r="32" ht="15" customHeight="1">
      <c r="A32" t="inlineStr">
        <is>
          <t>B18</t>
        </is>
      </c>
      <c r="B32" t="inlineStr">
        <is>
          <t>Nghiên cứu viên 15</t>
        </is>
      </c>
      <c r="F32">
        <f>IF(ISBLANK(C32), "⚪ Tùy chọn (Trống)", "✅ Xong")</f>
        <v/>
      </c>
    </row>
    <row r="33">
      <c r="A33" t="inlineStr">
        <is>
          <t>B19</t>
        </is>
      </c>
      <c r="B33" t="inlineStr">
        <is>
          <t>Nghiên cứu viên 16</t>
        </is>
      </c>
      <c r="F33">
        <f>IF(ISBLANK(C33), "⚪ Tùy chọn (Trống)", "✅ Xong")</f>
        <v/>
      </c>
    </row>
    <row r="34">
      <c r="A34" t="inlineStr">
        <is>
          <t>B20</t>
        </is>
      </c>
      <c r="B34" t="inlineStr">
        <is>
          <t>Nghiên cứu viên 17</t>
        </is>
      </c>
      <c r="F34">
        <f>IF(ISBLANK(C34), "⚪ Tùy chọn (Trống)", "✅ Xong")</f>
        <v/>
      </c>
    </row>
    <row r="35">
      <c r="A35" s="2" t="inlineStr">
        <is>
          <t>SEC_C</t>
        </is>
      </c>
      <c r="B35" s="2" t="inlineStr">
        <is>
          <t>PHẦN C: HỘI ĐỒNG ĐẠO ĐỨC TRONG NGHIÊN CỨU (HĐ 01 - 7 THÀNH VIÊN BẮT BUỘC)</t>
        </is>
      </c>
      <c r="C35" s="2" t="n"/>
      <c r="D35" s="2" t="n"/>
      <c r="E35" s="2" t="n"/>
      <c r="F35" s="2" t="n"/>
    </row>
    <row r="36">
      <c r="A36" t="inlineStr">
        <is>
          <t>C01</t>
        </is>
      </c>
      <c r="B36" t="inlineStr">
        <is>
          <t>Chủ tịch HĐ Đạo đức (Bắt buộc)</t>
        </is>
      </c>
      <c r="C36" s="3" t="n"/>
      <c r="D36" s="3" t="inlineStr"/>
      <c r="E36" s="3" t="inlineStr"/>
      <c r="F36">
        <f>IF(ISBLANK(C36), "❌ CHƯA ĐIỀN (BÁO LỖI)", "✅ Xong")</f>
        <v/>
      </c>
    </row>
    <row r="37">
      <c r="A37" t="inlineStr">
        <is>
          <t>C02</t>
        </is>
      </c>
      <c r="B37" t="inlineStr">
        <is>
          <t>Ủy viên Phản biện 1 (Bắt buộc)</t>
        </is>
      </c>
      <c r="C37" s="3" t="n"/>
      <c r="D37" s="3" t="inlineStr"/>
      <c r="E37" s="3" t="inlineStr"/>
      <c r="F37">
        <f>IF(ISBLANK(C37), "❌ CHƯA ĐIỀN (BÁO LỖI)", "✅ Xong")</f>
        <v/>
      </c>
    </row>
    <row r="38">
      <c r="A38" t="inlineStr">
        <is>
          <t>C03</t>
        </is>
      </c>
      <c r="B38" t="inlineStr">
        <is>
          <t>Ủy viên Phản biện 2 (Bắt buộc)</t>
        </is>
      </c>
      <c r="C38" s="3" t="n"/>
      <c r="D38" s="3" t="inlineStr"/>
      <c r="E38" s="3" t="inlineStr"/>
      <c r="F38">
        <f>IF(ISBLANK(C38), "❌ CHƯA ĐIỀN (BÁO LỖI)", "✅ Xong")</f>
        <v/>
      </c>
    </row>
    <row r="39">
      <c r="A39" t="inlineStr">
        <is>
          <t>C04</t>
        </is>
      </c>
      <c r="B39" t="inlineStr">
        <is>
          <t>Ủy viên HĐ Đạo đức 1 (Bắt buộc)</t>
        </is>
      </c>
      <c r="C39" s="3" t="n"/>
      <c r="D39" s="3" t="inlineStr"/>
      <c r="E39" s="3" t="inlineStr"/>
      <c r="F39">
        <f>IF(ISBLANK(C39), "❌ CHƯA ĐIỀN (BÁO LỖI)", "✅ Xong")</f>
        <v/>
      </c>
    </row>
    <row r="40">
      <c r="A40" t="inlineStr">
        <is>
          <t>C05</t>
        </is>
      </c>
      <c r="B40" t="inlineStr">
        <is>
          <t>Ủy viên HĐ Đạo đức 2 (Bắt buộc)</t>
        </is>
      </c>
      <c r="C40" s="3" t="n"/>
      <c r="D40" s="3" t="inlineStr"/>
      <c r="E40" s="3" t="inlineStr"/>
      <c r="F40">
        <f>IF(ISBLANK(C40), "❌ CHƯA ĐIỀN (BÁO LỖI)", "✅ Xong")</f>
        <v/>
      </c>
    </row>
    <row r="41">
      <c r="A41" t="inlineStr">
        <is>
          <t>C06</t>
        </is>
      </c>
      <c r="B41" t="inlineStr">
        <is>
          <t>Ủy viên Phản biện 3 (Tùy chọn)</t>
        </is>
      </c>
      <c r="F41">
        <f>IF(ISBLANK(C41), "⚪ Tùy chọn (Trống)", "✅ Xong")</f>
        <v/>
      </c>
    </row>
    <row r="42">
      <c r="A42" t="inlineStr">
        <is>
          <t>C07</t>
        </is>
      </c>
      <c r="B42" t="inlineStr">
        <is>
          <t>Ủy viên HĐ Đạo đức 3 (Tùy chọn)</t>
        </is>
      </c>
      <c r="F42">
        <f>IF(ISBLANK(C42), "⚪ Tùy chọn (Trống)", "✅ Xong")</f>
        <v/>
      </c>
    </row>
    <row r="43" ht="15" customHeight="1">
      <c r="A43" t="inlineStr">
        <is>
          <t>C08</t>
        </is>
      </c>
      <c r="B43" t="inlineStr">
        <is>
          <t>Ủy viên HĐ Đạo đức 4 (Tùy chọn)</t>
        </is>
      </c>
      <c r="F43">
        <f>IF(ISBLANK(C43), "⚪ Tùy chọn (Trống)", "✅ Xong")</f>
        <v/>
      </c>
    </row>
    <row r="44">
      <c r="A44" t="inlineStr">
        <is>
          <t>C09</t>
        </is>
      </c>
      <c r="B44" t="inlineStr">
        <is>
          <t>Thư ký HĐ Đạo đức 1 (Bắt buộc)</t>
        </is>
      </c>
      <c r="C44" s="3" t="n"/>
      <c r="D44" s="3" t="inlineStr"/>
      <c r="E44" s="3" t="inlineStr"/>
      <c r="F44">
        <f>IF(ISBLANK(C44), "❌ CHƯA ĐIỀN (BÁO LỖI)", "✅ Xong")</f>
        <v/>
      </c>
    </row>
    <row r="45">
      <c r="A45" t="inlineStr">
        <is>
          <t>C10</t>
        </is>
      </c>
      <c r="B45" t="inlineStr">
        <is>
          <t>Thư ký HĐ Đạo đức 2 (Bắt buộc)</t>
        </is>
      </c>
      <c r="C45" s="3" t="n"/>
      <c r="D45" s="3" t="inlineStr"/>
      <c r="E45" s="3" t="inlineStr"/>
      <c r="F45">
        <f>IF(ISBLANK(C45), "❌ CHƯA ĐIỀN (BÁO LỖI)", "✅ Xong")</f>
        <v/>
      </c>
    </row>
    <row r="46">
      <c r="A46" s="2" t="inlineStr">
        <is>
          <t>SEC_D</t>
        </is>
      </c>
      <c r="B46" s="2" t="inlineStr">
        <is>
          <t>PHẦN D: HỘI ĐỒNG KHOA HỌC XÉT DUYỆT ĐỀ CƯƠNG (HĐ 02 - 7 THÀNH VIÊN BẮT BUỘC)</t>
        </is>
      </c>
      <c r="C46" s="2" t="n"/>
      <c r="D46" s="2" t="n"/>
      <c r="E46" s="2" t="n"/>
      <c r="F46" s="2" t="n"/>
    </row>
    <row r="47">
      <c r="A47" t="inlineStr">
        <is>
          <t>D01</t>
        </is>
      </c>
      <c r="B47" t="inlineStr">
        <is>
          <t>Chủ tịch HĐ Đề cương (Bắt buộc)</t>
        </is>
      </c>
      <c r="C47" s="3" t="n"/>
      <c r="D47" s="3" t="inlineStr"/>
      <c r="E47" s="3" t="inlineStr"/>
      <c r="F47">
        <f>IF(ISBLANK(C47), "❌ CHƯA ĐIỀN (BÁO LỖI)", "✅ Xong")</f>
        <v/>
      </c>
    </row>
    <row r="48">
      <c r="A48" t="inlineStr">
        <is>
          <t>D02</t>
        </is>
      </c>
      <c r="B48" t="inlineStr">
        <is>
          <t>Ủy viên Phản biện 1 (Bắt buộc)</t>
        </is>
      </c>
      <c r="C48" s="3" t="n"/>
      <c r="D48" s="3" t="inlineStr"/>
      <c r="E48" s="3" t="inlineStr"/>
      <c r="F48">
        <f>IF(ISBLANK(C48), "❌ CHƯA ĐIỀN (BÁO LỖI)", "✅ Xong")</f>
        <v/>
      </c>
    </row>
    <row r="49">
      <c r="A49" t="inlineStr">
        <is>
          <t>D03</t>
        </is>
      </c>
      <c r="B49" t="inlineStr">
        <is>
          <t>Ủy viên Phản biện 2 (Bắt buộc)</t>
        </is>
      </c>
      <c r="C49" s="3" t="n"/>
      <c r="D49" s="3" t="inlineStr"/>
      <c r="E49" s="3" t="inlineStr"/>
      <c r="F49">
        <f>IF(ISBLANK(C49), "❌ CHƯA ĐIỀN (BÁO LỖI)", "✅ Xong")</f>
        <v/>
      </c>
    </row>
    <row r="50">
      <c r="A50" t="inlineStr">
        <is>
          <t>D04</t>
        </is>
      </c>
      <c r="B50" t="inlineStr">
        <is>
          <t>Ủy viên HĐ Đề cương 1 (Bắt buộc)</t>
        </is>
      </c>
      <c r="C50" s="3" t="n"/>
      <c r="D50" s="3" t="inlineStr"/>
      <c r="E50" s="3" t="inlineStr"/>
      <c r="F50">
        <f>IF(ISBLANK(C50), "❌ CHƯA ĐIỀN (BÁO LỖI)", "✅ Xong")</f>
        <v/>
      </c>
    </row>
    <row r="51">
      <c r="A51" t="inlineStr">
        <is>
          <t>D05</t>
        </is>
      </c>
      <c r="B51" t="inlineStr">
        <is>
          <t>Ủy viên HĐ Đề cương 2 (Bắt buộc)</t>
        </is>
      </c>
      <c r="C51" s="3" t="n"/>
      <c r="D51" s="3" t="inlineStr"/>
      <c r="E51" s="3" t="inlineStr"/>
      <c r="F51">
        <f>IF(ISBLANK(C51), "❌ CHƯA ĐIỀN (BÁO LỖI)", "✅ Xong")</f>
        <v/>
      </c>
    </row>
    <row r="52">
      <c r="A52" t="inlineStr">
        <is>
          <t>D06</t>
        </is>
      </c>
      <c r="B52" t="inlineStr">
        <is>
          <t>Ủy viên Phản biện 3 (Tùy chọn)</t>
        </is>
      </c>
      <c r="F52">
        <f>IF(ISBLANK(C52), "⚪ Tùy chọn (Trống)", "✅ Xong")</f>
        <v/>
      </c>
    </row>
    <row r="53">
      <c r="A53" t="inlineStr">
        <is>
          <t>D07</t>
        </is>
      </c>
      <c r="B53" t="inlineStr">
        <is>
          <t>Ủy viên HĐ Đề cương 3 (Tùy chọn)</t>
        </is>
      </c>
      <c r="F53">
        <f>IF(ISBLANK(C53), "⚪ Tùy chọn (Trống)", "✅ Xong")</f>
        <v/>
      </c>
    </row>
    <row r="54" ht="15" customHeight="1">
      <c r="A54" t="inlineStr">
        <is>
          <t>D08</t>
        </is>
      </c>
      <c r="B54" t="inlineStr">
        <is>
          <t>Ủy viên HĐ Đề cương 4 (Tùy chọn)</t>
        </is>
      </c>
      <c r="F54">
        <f>IF(ISBLANK(C54), "⚪ Tùy chọn (Trống)", "✅ Xong")</f>
        <v/>
      </c>
    </row>
    <row r="55">
      <c r="A55" t="inlineStr">
        <is>
          <t>D09</t>
        </is>
      </c>
      <c r="B55" t="inlineStr">
        <is>
          <t>Thư ký HĐ Đề cương 1 (Bắt buộc)</t>
        </is>
      </c>
      <c r="C55" s="3" t="n"/>
      <c r="D55" s="3" t="inlineStr"/>
      <c r="E55" s="3" t="inlineStr"/>
      <c r="F55">
        <f>IF(ISBLANK(C55), "❌ CHƯA ĐIỀN (BÁO LỖI)", "✅ Xong")</f>
        <v/>
      </c>
    </row>
    <row r="56">
      <c r="A56" t="inlineStr">
        <is>
          <t>D10</t>
        </is>
      </c>
      <c r="B56" t="inlineStr">
        <is>
          <t>Thư ký HĐ Đề cương 2 (Bắt buộc)</t>
        </is>
      </c>
      <c r="C56" s="3" t="n"/>
      <c r="D56" s="3" t="inlineStr"/>
      <c r="E56" s="3" t="inlineStr"/>
      <c r="F56">
        <f>IF(ISBLANK(C56), "❌ CHƯA ĐIỀN (BÁO LỖI)", "✅ Xong")</f>
        <v/>
      </c>
    </row>
    <row r="57">
      <c r="A57" s="2" t="inlineStr">
        <is>
          <t>SEC_E</t>
        </is>
      </c>
      <c r="B57" s="2" t="inlineStr">
        <is>
          <t>PHẦN E: HỘI ĐỒNG ĐÁNH GIÁ NGHIỆM THU (HĐ 03 - 7 THÀNH VIÊN BẮT BUỘC)</t>
        </is>
      </c>
      <c r="C57" s="2" t="n"/>
      <c r="D57" s="2" t="n"/>
      <c r="E57" s="2" t="n"/>
      <c r="F57" s="2" t="n"/>
    </row>
    <row r="58">
      <c r="A58" t="inlineStr">
        <is>
          <t>E01</t>
        </is>
      </c>
      <c r="B58" t="inlineStr">
        <is>
          <t>Chủ tịch HĐ Nghiệm thu (Bắt buộc)</t>
        </is>
      </c>
      <c r="C58" s="3" t="n"/>
      <c r="D58" s="3" t="inlineStr"/>
      <c r="E58" s="3" t="inlineStr"/>
      <c r="F58">
        <f>IF(ISBLANK(C58), "❌ CHƯA ĐIỀN (BÁO LỖI)", "✅ Xong")</f>
        <v/>
      </c>
    </row>
    <row r="59">
      <c r="A59" t="inlineStr">
        <is>
          <t>E02</t>
        </is>
      </c>
      <c r="B59" t="inlineStr">
        <is>
          <t>Ủy viên Phản biện 1 (Bắt buộc)</t>
        </is>
      </c>
      <c r="C59" s="3" t="n"/>
      <c r="D59" s="3" t="inlineStr"/>
      <c r="E59" s="3" t="inlineStr"/>
      <c r="F59">
        <f>IF(ISBLANK(C59), "❌ CHƯA ĐIỀN (BÁO LỖI)", "✅ Xong")</f>
        <v/>
      </c>
    </row>
    <row r="60">
      <c r="A60" t="inlineStr">
        <is>
          <t>E03</t>
        </is>
      </c>
      <c r="B60" t="inlineStr">
        <is>
          <t>Ủy viên Phản biện 2 (Bắt buộc)</t>
        </is>
      </c>
      <c r="C60" s="3" t="n"/>
      <c r="D60" s="3" t="inlineStr"/>
      <c r="E60" s="3" t="inlineStr"/>
      <c r="F60">
        <f>IF(ISBLANK(C60), "❌ CHƯA ĐIỀN (BÁO LỖI)", "✅ Xong")</f>
        <v/>
      </c>
    </row>
    <row r="61">
      <c r="A61" t="inlineStr">
        <is>
          <t>E04</t>
        </is>
      </c>
      <c r="B61" t="inlineStr">
        <is>
          <t>Ủy viên HĐ Nghiệm thu 1 (Bắt buộc)</t>
        </is>
      </c>
      <c r="C61" s="3" t="n"/>
      <c r="D61" s="3" t="inlineStr"/>
      <c r="E61" s="3" t="inlineStr"/>
      <c r="F61">
        <f>IF(ISBLANK(C61), "❌ CHƯA ĐIỀN (BÁO LỖI)", "✅ Xong")</f>
        <v/>
      </c>
    </row>
    <row r="62">
      <c r="A62" t="inlineStr">
        <is>
          <t>E05</t>
        </is>
      </c>
      <c r="B62" t="inlineStr">
        <is>
          <t>Ủy viên HĐ Nghiệm thu 2 (Bắt buộc)</t>
        </is>
      </c>
      <c r="C62" s="3" t="n"/>
      <c r="D62" s="3" t="inlineStr"/>
      <c r="E62" s="3" t="inlineStr"/>
      <c r="F62">
        <f>IF(ISBLANK(C62), "❌ CHƯA ĐIỀN (BÁO LỖI)", "✅ Xong")</f>
        <v/>
      </c>
    </row>
    <row r="63">
      <c r="A63" t="inlineStr">
        <is>
          <t>E06</t>
        </is>
      </c>
      <c r="B63" t="inlineStr">
        <is>
          <t>Ủy viên Phản biện 3 (Tùy chọn)</t>
        </is>
      </c>
      <c r="F63">
        <f>IF(ISBLANK(C63), "⚪ Tùy chọn (Trống)", "✅ Xong")</f>
        <v/>
      </c>
    </row>
    <row r="64">
      <c r="A64" t="inlineStr">
        <is>
          <t>E07</t>
        </is>
      </c>
      <c r="B64" t="inlineStr">
        <is>
          <t>Ủy viên HĐ Nghiệm thu 3 (Tùy chọn)</t>
        </is>
      </c>
      <c r="F64">
        <f>IF(ISBLANK(C64), "⚪ Tùy chọn (Trống)", "✅ Xong")</f>
        <v/>
      </c>
    </row>
    <row r="65" ht="15" customHeight="1">
      <c r="A65" t="inlineStr">
        <is>
          <t>E08</t>
        </is>
      </c>
      <c r="B65" t="inlineStr">
        <is>
          <t>Ủy viên HĐ Nghiệm thu 4 (Tùy chọn)</t>
        </is>
      </c>
      <c r="F65">
        <f>IF(ISBLANK(C65), "⚪ Tùy chọn (Trống)", "✅ Xong")</f>
        <v/>
      </c>
    </row>
    <row r="66">
      <c r="A66" t="inlineStr">
        <is>
          <t>E09</t>
        </is>
      </c>
      <c r="B66" t="inlineStr">
        <is>
          <t>Thư ký HĐ Nghiệm thu 1 (Bắt buộc)</t>
        </is>
      </c>
      <c r="C66" s="3" t="n"/>
      <c r="D66" s="3" t="inlineStr"/>
      <c r="E66" s="3" t="inlineStr"/>
      <c r="F66">
        <f>IF(ISBLANK(C66), "❌ CHƯA ĐIỀN (BÁO LỖI)", "✅ Xong")</f>
        <v/>
      </c>
    </row>
    <row r="67">
      <c r="A67" t="inlineStr">
        <is>
          <t>E10</t>
        </is>
      </c>
      <c r="B67" t="inlineStr">
        <is>
          <t>Thư ký HĐ Nghiệm thu 2 (Bắt buộc)</t>
        </is>
      </c>
      <c r="C67" s="3" t="n"/>
      <c r="D67" s="3" t="inlineStr"/>
      <c r="E67" s="3" t="inlineStr"/>
      <c r="F67">
        <f>IF(ISBLANK(C67), "❌ CHƯA ĐIỀN (BÁO LỖI)", "✅ Xong")</f>
        <v/>
      </c>
    </row>
    <row r="68">
      <c r="A68" s="2" t="inlineStr">
        <is>
          <t>SEC_F</t>
        </is>
      </c>
      <c r="B68" s="2" t="inlineStr">
        <is>
          <t>PHẦN F: LÝ LỊCH KHOA HỌC CHUYÊN GIA (CV CHỦ NHIỆM BẮT BUỘC &amp; CV THÀNH VIÊN TÙY CHỌN)</t>
        </is>
      </c>
      <c r="C68" s="2" t="n"/>
      <c r="D68" s="2" t="n"/>
      <c r="E68" s="2" t="n"/>
      <c r="F68" s="2" t="n"/>
    </row>
    <row r="69">
      <c r="A69" t="inlineStr">
        <is>
          <t>F01</t>
        </is>
      </c>
      <c r="B69" t="inlineStr">
        <is>
          <t>Hồ sơ Chủ nhiệm đề tài (Bắt buộc - File mặc định cho HĐ Đạo đức)</t>
        </is>
      </c>
      <c r="C69" s="3" t="n"/>
      <c r="D69" s="3" t="n"/>
      <c r="E69" s="3" t="n"/>
      <c r="F69">
        <f>IF(ISBLANK(C69), "❌ CHƯA ĐIỀN THÔNG TIN CNĐT (BÁO LỖI)", "✅ Đã khai chủ nhiệm đề tài - CV sẽ tự khớp theo tên")</f>
        <v/>
      </c>
    </row>
    <row r="70">
      <c r="A70" t="inlineStr">
        <is>
          <t>F02</t>
        </is>
      </c>
      <c r="B70" t="inlineStr">
        <is>
          <t>Hồ sơ Đồng Chủ nhiệm (Tùy chọn)</t>
        </is>
      </c>
      <c r="F70">
        <f>IF(ISBLANK(C70), "⚪ Tùy chọn (Trống)", "✅ Đã khai tên - CV sẽ tự khớp theo tên")</f>
        <v/>
      </c>
    </row>
    <row r="71">
      <c r="A71" t="inlineStr">
        <is>
          <t>F03</t>
        </is>
      </c>
      <c r="B71" t="inlineStr">
        <is>
          <t>Hồ sơ Thư ký Đề tài (Tùy chọn)</t>
        </is>
      </c>
      <c r="F71">
        <f>IF(ISBLANK(C71), "⚪ Tùy chọn (Trống)", "✅ Đã khai tên - CV sẽ tự khớp theo tên")</f>
        <v/>
      </c>
    </row>
    <row r="72">
      <c r="A72" t="inlineStr">
        <is>
          <t>F04</t>
        </is>
      </c>
      <c r="B72" t="inlineStr">
        <is>
          <t>Hồ sơ Chuyên gia / Thành viên 4 (Tùy chọn)</t>
        </is>
      </c>
      <c r="F72">
        <f>IF(ISBLANK(C72), "⚪ Tùy chọn (Trống)", "✅ Đã khai tên - CV sẽ tự khớp theo tên")</f>
        <v/>
      </c>
    </row>
    <row r="73">
      <c r="A73" t="inlineStr">
        <is>
          <t>F05</t>
        </is>
      </c>
      <c r="B73" t="inlineStr">
        <is>
          <t>Hồ sơ Chuyên gia / Thành viên 5 (Tùy chọn)</t>
        </is>
      </c>
      <c r="F73">
        <f>IF(ISBLANK(C73), "⚪ Tùy chọn (Trống)", "✅ Đã khai tên - CV sẽ tự khớp theo tên")</f>
        <v/>
      </c>
    </row>
    <row r="74">
      <c r="A74" t="inlineStr">
        <is>
          <t>F06</t>
        </is>
      </c>
      <c r="B74" t="inlineStr">
        <is>
          <t>Hồ sơ Chuyên gia / Thành viên 6 (Tùy chọn)</t>
        </is>
      </c>
      <c r="F74">
        <f>IF(ISBLANK(C74), "⚪ Tùy chọn (Trống)", "✅ Đã khai tên - CV sẽ tự khớp theo tên")</f>
        <v/>
      </c>
    </row>
    <row r="75">
      <c r="A75" t="inlineStr">
        <is>
          <t>F07</t>
        </is>
      </c>
      <c r="B75" t="inlineStr">
        <is>
          <t>Hồ sơ Chuyên gia / Thành viên 7 (Tùy chọn)</t>
        </is>
      </c>
      <c r="F75">
        <f>IF(ISBLANK(C75), "⚪ Tùy chọn (Trống)", "✅ Đã khai tên - CV sẽ tự khớp theo tên")</f>
        <v/>
      </c>
    </row>
    <row r="76">
      <c r="A76" t="inlineStr">
        <is>
          <t>F08</t>
        </is>
      </c>
      <c r="B76" t="inlineStr">
        <is>
          <t>Hồ sơ Chuyên gia / Thành viên 8 (Tùy chọn)</t>
        </is>
      </c>
      <c r="F76">
        <f>IF(ISBLANK(C76), "⚪ Tùy chọn (Trống)", "✅ Đã khai tên - CV sẽ tự khớp theo tên")</f>
        <v/>
      </c>
    </row>
    <row r="77">
      <c r="A77" t="inlineStr">
        <is>
          <t>F09</t>
        </is>
      </c>
      <c r="B77" t="inlineStr">
        <is>
          <t>Hồ sơ Chuyên gia / Thành viên 9 (Tùy chọn)</t>
        </is>
      </c>
      <c r="F77">
        <f>IF(ISBLANK(C77), "⚪ Tùy chọn (Trống)", "✅ Đã khai tên - CV sẽ tự khớp theo tên")</f>
        <v/>
      </c>
    </row>
    <row r="78">
      <c r="A78" t="inlineStr">
        <is>
          <t>F10</t>
        </is>
      </c>
      <c r="B78" t="inlineStr">
        <is>
          <t>Hồ sơ Chuyên gia / Thành viên 10 (Tùy chọn)</t>
        </is>
      </c>
      <c r="F78">
        <f>IF(ISBLANK(C78), "⚪ Tùy chọn (Trống)", "✅ Đã khai tên - CV sẽ tự khớp theo tên")</f>
        <v/>
      </c>
    </row>
    <row r="79">
      <c r="A79" s="7" t="inlineStr">
        <is>
          <t>SEC_G</t>
        </is>
      </c>
      <c r="B79" s="7" t="inlineStr">
        <is>
          <t>PHẦN G: SỐ VĂN BẢN, NGÀY KÝ, BỐI CẢNH &amp; LỊCH HỌP (TÙY CHỌN - ĐỂ TRỐNG SẼ GIỮ NGUYÊN DẤU CHẤM LỬNG)</t>
        </is>
      </c>
      <c r="C79" s="7" t="n"/>
      <c r="D79" s="7" t="n"/>
      <c r="E79" s="7" t="n"/>
    </row>
    <row r="80">
      <c r="A80" s="8" t="inlineStr">
        <is>
          <t>G01</t>
        </is>
      </c>
      <c r="B80" s="8" t="inlineStr">
        <is>
          <t>Bối cảnh / lý do triển khai đề tài (Điền nội dung hoặc để trống)</t>
        </is>
      </c>
      <c r="C80" s="8" t="n"/>
      <c r="D80" s="8" t="inlineStr">
        <is>
          <t>Token: {{BOI_CANH_DU_AN}}</t>
        </is>
      </c>
      <c r="E80" s="8" t="n"/>
    </row>
    <row r="81">
      <c r="A81" s="8" t="inlineStr">
        <is>
          <t>G02</t>
        </is>
      </c>
      <c r="B81" s="8" t="inlineStr">
        <is>
          <t>Địa điểm họp Hội đồng (Tùy chọn - Để trống dùng địa chỉ Viện)</t>
        </is>
      </c>
      <c r="C81" s="8" t="n"/>
      <c r="D81" s="8" t="inlineStr">
        <is>
          <t>Token: {{DIA_DIEM_HOP}}</t>
        </is>
      </c>
      <c r="E81" s="8" t="n"/>
    </row>
    <row r="82">
      <c r="A82" s="8" t="inlineStr">
        <is>
          <t>G03</t>
        </is>
      </c>
      <c r="B82" s="8" t="inlineStr">
        <is>
          <t>Thời gian họp chung (giờ, ngày tháng - Tùy chọn)</t>
        </is>
      </c>
      <c r="C82" s="8" t="n"/>
      <c r="D82" s="8" t="inlineStr">
        <is>
          <t>Token: {{THOI_GIAN_HOP}}</t>
        </is>
      </c>
      <c r="E82" s="8" t="n"/>
    </row>
    <row r="83">
      <c r="A83" s="8" t="inlineStr">
        <is>
          <t>G04</t>
        </is>
      </c>
      <c r="B83" s="8" t="inlineStr">
        <is>
          <t>Số công văn mời chuyên gia (Tùy chọn)</t>
        </is>
      </c>
      <c r="C83" s="8" t="n"/>
      <c r="D83" s="8" t="inlineStr">
        <is>
          <t>Token: {{SO_CONG_VAN}}</t>
        </is>
      </c>
      <c r="E83" s="8" t="n"/>
    </row>
    <row r="84">
      <c r="A84" s="8" t="inlineStr">
        <is>
          <t>G05</t>
        </is>
      </c>
      <c r="B84" s="8" t="inlineStr">
        <is>
          <t>Ngày ký công văn mời chuyên gia (Tùy chọn)</t>
        </is>
      </c>
      <c r="C84" s="9" t="n"/>
      <c r="D84" s="8" t="inlineStr">
        <is>
          <t>Định dạng: DD/MM/YYYY</t>
        </is>
      </c>
      <c r="E84" s="8" t="n"/>
    </row>
    <row r="85">
      <c r="A85" s="8" t="inlineStr">
        <is>
          <t>G06</t>
        </is>
      </c>
      <c r="B85" s="8" t="inlineStr">
        <is>
          <t>Số Quyết định giao đề tài - Mẫu 00 (Tùy chọn)</t>
        </is>
      </c>
      <c r="C85" s="8" t="n"/>
      <c r="D85" s="8" t="inlineStr">
        <is>
          <t>Token: {{SO_QD_GIAO_DE_TAI}}</t>
        </is>
      </c>
      <c r="E85" s="8" t="n"/>
    </row>
    <row r="86">
      <c r="A86" s="8" t="inlineStr">
        <is>
          <t>G07</t>
        </is>
      </c>
      <c r="B86" s="8" t="inlineStr">
        <is>
          <t>Ngày ký QĐ giao đề tài (Tùy chọn)</t>
        </is>
      </c>
      <c r="C86" s="9" t="n"/>
      <c r="D86" s="8" t="inlineStr">
        <is>
          <t>Định dạng: DD/MM/YYYY</t>
        </is>
      </c>
      <c r="E86" s="8" t="n"/>
    </row>
    <row r="87">
      <c r="A87" s="8" t="inlineStr">
        <is>
          <t>G08</t>
        </is>
      </c>
      <c r="B87" s="8" t="inlineStr">
        <is>
          <t>Số QĐ TLHĐ Đạo đức - Mẫu 01 (Tùy chọn)</t>
        </is>
      </c>
      <c r="C87" s="8" t="n"/>
      <c r="D87" s="8" t="inlineStr">
        <is>
          <t>Token: {{SO_QD_TLHD_DAO_DUC}}</t>
        </is>
      </c>
      <c r="E87" s="8" t="n"/>
    </row>
    <row r="88">
      <c r="A88" s="8" t="inlineStr">
        <is>
          <t>G09</t>
        </is>
      </c>
      <c r="B88" s="8" t="inlineStr">
        <is>
          <t>Ngày ký QĐ TLHĐ Đạo đức (Tùy chọn)</t>
        </is>
      </c>
      <c r="C88" s="9" t="n"/>
      <c r="D88" s="8" t="inlineStr">
        <is>
          <t>Định dạng: DD/MM/YYYY</t>
        </is>
      </c>
      <c r="E88" s="8" t="n"/>
    </row>
    <row r="89">
      <c r="A89" s="8" t="inlineStr">
        <is>
          <t>G10</t>
        </is>
      </c>
      <c r="B89" s="8" t="inlineStr">
        <is>
          <t>Số QĐ TLHĐ Khoa học - Mẫu 05 (Tùy chọn)</t>
        </is>
      </c>
      <c r="C89" s="8" t="n"/>
      <c r="D89" s="8" t="inlineStr">
        <is>
          <t>Token: {{SO_QD_TLHD_KHOA_HOC}}</t>
        </is>
      </c>
      <c r="E89" s="8" t="n"/>
    </row>
    <row r="90">
      <c r="A90" s="8" t="inlineStr">
        <is>
          <t>G11</t>
        </is>
      </c>
      <c r="B90" s="8" t="inlineStr">
        <is>
          <t>Ngày ký QĐ TLHĐ Khoa học (Tùy chọn)</t>
        </is>
      </c>
      <c r="C90" s="9" t="n"/>
      <c r="D90" s="8" t="inlineStr">
        <is>
          <t>Định dạng: DD/MM/YYYY</t>
        </is>
      </c>
      <c r="E90" s="8" t="n"/>
    </row>
    <row r="91">
      <c r="A91" s="8" t="inlineStr">
        <is>
          <t>G12</t>
        </is>
      </c>
      <c r="B91" s="8" t="inlineStr">
        <is>
          <t>Số QĐ TLHĐ Nghiệm thu - Mẫu 9 (Tùy chọn)</t>
        </is>
      </c>
      <c r="C91" s="8" t="n"/>
      <c r="D91" s="8" t="inlineStr">
        <is>
          <t>Token: {{SO_QD_TLHD_NGHIEM_THU}}</t>
        </is>
      </c>
      <c r="E91" s="8" t="n"/>
    </row>
    <row r="92">
      <c r="A92" s="8" t="inlineStr">
        <is>
          <t>G13</t>
        </is>
      </c>
      <c r="B92" s="8" t="inlineStr">
        <is>
          <t>Ngày ký QĐ TLHĐ Nghiệm thu (Tùy chọn)</t>
        </is>
      </c>
      <c r="C92" s="9" t="n"/>
      <c r="D92" s="8" t="inlineStr">
        <is>
          <t>Định dạng: DD/MM/YYYY</t>
        </is>
      </c>
      <c r="E92" s="8" t="n"/>
    </row>
    <row r="93">
      <c r="A93" s="8" t="inlineStr">
        <is>
          <t>G14</t>
        </is>
      </c>
      <c r="B93" s="8" t="inlineStr">
        <is>
          <t>Số QĐ Phê duyệt đề tài - Mẫu 08 (Tùy chọn)</t>
        </is>
      </c>
      <c r="C93" s="8" t="n"/>
      <c r="D93" s="8" t="inlineStr">
        <is>
          <t>Token: {{SO_QD_PHE_DUYET}}</t>
        </is>
      </c>
      <c r="E93" s="8" t="n"/>
    </row>
    <row r="94">
      <c r="A94" s="8" t="inlineStr">
        <is>
          <t>G15</t>
        </is>
      </c>
      <c r="B94" s="8" t="inlineStr">
        <is>
          <t>Ngày ký QĐ Phê duyệt đề tài (Tùy chọn)</t>
        </is>
      </c>
      <c r="C94" s="9" t="n"/>
      <c r="D94" s="8" t="inlineStr">
        <is>
          <t>Định dạng: DD/MM/YYYY</t>
        </is>
      </c>
      <c r="E94" s="8" t="n"/>
    </row>
    <row r="95">
      <c r="A95" s="8" t="inlineStr">
        <is>
          <t>G16</t>
        </is>
      </c>
      <c r="B95" s="8" t="inlineStr">
        <is>
          <t>Số QĐ Công nhận kết quả - Mẫu 12 (Tùy chọn)</t>
        </is>
      </c>
      <c r="C95" s="8" t="n"/>
      <c r="D95" s="8" t="inlineStr">
        <is>
          <t>Token: {{SO_QD_CONG_NHAN}}</t>
        </is>
      </c>
      <c r="E95" s="8" t="n"/>
    </row>
    <row r="96">
      <c r="A96" s="8" t="inlineStr">
        <is>
          <t>G17</t>
        </is>
      </c>
      <c r="B96" s="8" t="inlineStr">
        <is>
          <t>Ngày ký QĐ Công nhận kết quả (Tùy chọn)</t>
        </is>
      </c>
      <c r="C96" s="9" t="n"/>
      <c r="D96" s="8" t="inlineStr">
        <is>
          <t>Định dạng: DD/MM/YYYY</t>
        </is>
      </c>
      <c r="E96" s="8" t="n"/>
    </row>
    <row r="97">
      <c r="A97" s="8" t="inlineStr">
        <is>
          <t>G18</t>
        </is>
      </c>
      <c r="B97" s="8" t="inlineStr">
        <is>
          <t>Ngày họp HĐ Đạo đức - Mẫu 02, 03 (Tùy chọn)</t>
        </is>
      </c>
      <c r="C97" s="9" t="n"/>
      <c r="D97" s="8" t="inlineStr">
        <is>
          <t>Định dạng: DD/MM/YYYY</t>
        </is>
      </c>
      <c r="E97" s="8" t="n"/>
    </row>
    <row r="98">
      <c r="A98" s="8" t="inlineStr">
        <is>
          <t>G19</t>
        </is>
      </c>
      <c r="B98" s="8" t="inlineStr">
        <is>
          <t>Ngày họp HĐ Khoa học - Mẫu 06, 07 (Tùy chọn)</t>
        </is>
      </c>
      <c r="C98" s="9" t="n"/>
      <c r="D98" s="8" t="inlineStr">
        <is>
          <t>Định dạng: DD/MM/YYYY</t>
        </is>
      </c>
      <c r="E98" s="8" t="n"/>
    </row>
    <row r="99">
      <c r="A99" s="8" t="inlineStr">
        <is>
          <t>G20</t>
        </is>
      </c>
      <c r="B99" s="8" t="inlineStr">
        <is>
          <t>Ngày họp HĐ Nghiệm thu - Mẫu 10, 11 (Tùy chọn)</t>
        </is>
      </c>
      <c r="C99" s="9" t="n"/>
      <c r="D99" s="8" t="inlineStr">
        <is>
          <t>Định dạng: DD/MM/YYYY</t>
        </is>
      </c>
      <c r="E99" s="8" t="n"/>
    </row>
  </sheetData>
  <mergeCells count="2">
    <mergeCell ref="A2:F2"/>
    <mergeCell ref="A1:F1"/>
  </mergeCells>
  <dataValidations count="5">
    <dataValidation sqref="C15 C16 C17 C18 C19 C20 C21 C22 C23 C24 C25 C26 C27 C28 C29 C30 C31 C32 C33 C34 C36 C37 C38 C39 C40 C41 C42 C43 C44 C45 C47 C48 C49 C50 C51 C52 C53 C54 C55 C56 C58 C59 C60 C61 C62 C63 C64 C65 C66 C67" showDropDown="0" showInputMessage="0" showErrorMessage="0" allowBlank="1" type="list">
      <formula1>='_NhanSu'!$A$2:$A$16</formula1>
    </dataValidation>
    <dataValidation sqref="C7" showDropDown="0" showInputMessage="0" showErrorMessage="0" allowBlank="1" type="list">
      <formula1>"Nghiên cứu can thiệp,Nghiên cứu quan sát,Thử nghiệm lâm sàng,Đánh giá hiệu quả công thức,Khác"</formula1>
    </dataValidation>
    <dataValidation sqref="D15 D16 D17 D18 D19 D20 D21 D22 D23 D24 D25 D26 D27 D28 D29 D30 D31 D32 D33 D34 D36 D37 D38 D39 D40 D41 D42 D43 D44 D45 D47 D48 D49 D50 D51 D52 D53 D54 D55 D56 D58 D59 D60 D61 D62 D63 D64 D65 D66 D67" showDropDown="0" showInputMessage="0" showErrorMessage="0" allowBlank="1" type="list">
      <formula1>"GS.TS.,PGS.TS.,TS.,ThS.,BS.CKII,BS.CKI,BS.,CN.,DS."</formula1>
    </dataValidation>
    <dataValidation sqref="A6 A7 A8 A9 A10 A11 A12 A13 A15 A16 A17 A18 A19 A20 A21 A22 A23 A24 A25 A26 A27 A28 A29 A30 A31 A32 A33 A34 A36 A37 A38 A39 A40 A41 A42 A43 A44 A45 A47 A48 A49 A50 A51 A52 A53 A54 A55 A56 A58 A59" showDropDown="0" showInputMessage="0" showErrorMessage="0" allowBlank="1" type="list">
      <formula1>='_Tokens'!$A$2:$A$38</formula1>
    </dataValidation>
    <dataValidation sqref="C84 C86 C88 C90 C92 C94 C96 C97 C98 C99" showDropDown="0" showInputMessage="1" showErrorMessage="1" allowBlank="1" errorTitle="Sai định dạng ngày" error="Vui lòng nhập ngày hợp lệ (VD: 15/03/2027 hoặc chọn từ lịch)" promptTitle="Nhập ngày" prompt="Định dạng ngày: DD/MM/YYYY" type="date" operator="greaterThanOrEqual">
      <formula1>DATE(1900,1,1)</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sheetData>
    <row r="1">
      <c r="A1" t="inlineStr">
        <is>
          <t>ten</t>
        </is>
      </c>
      <c r="B1" t="inlineStr">
        <is>
          <t>hoc_ham_hoc_vi</t>
        </is>
      </c>
      <c r="C1" t="inlineStr">
        <is>
          <t>don_vi</t>
        </is>
      </c>
      <c r="D1" t="inlineStr">
        <is>
          <t>dia_chi</t>
        </is>
      </c>
      <c r="E1" t="inlineStr">
        <is>
          <t>sdt</t>
        </is>
      </c>
      <c r="F1" t="inlineStr">
        <is>
          <t>email</t>
        </is>
      </c>
      <c r="G1" t="inlineStr">
        <is>
          <t>cccd</t>
        </is>
      </c>
      <c r="H1" t="inlineStr">
        <is>
          <t>mst</t>
        </is>
      </c>
      <c r="I1" t="inlineStr">
        <is>
          <t>so_tk</t>
        </is>
      </c>
      <c r="J1" t="inlineStr">
        <is>
          <t>ngan_hang</t>
        </is>
      </c>
    </row>
    <row r="2">
      <c r="A2" t="inlineStr">
        <is>
          <t>Trương Hồng Sơn</t>
        </is>
      </c>
      <c r="B2" t="inlineStr">
        <is>
          <t>TS.BS.</t>
        </is>
      </c>
      <c r="C2" t="inlineStr">
        <is>
          <t>Viện trưởng - Viện Y học Ứng dụng VN</t>
        </is>
      </c>
    </row>
    <row r="3">
      <c r="A3" t="inlineStr">
        <is>
          <t>Lưu Liên Hương</t>
        </is>
      </c>
      <c r="B3" t="inlineStr">
        <is>
          <t>Thạc sĩ</t>
        </is>
      </c>
      <c r="C3" t="inlineStr">
        <is>
          <t>Trung tâm NCKH - Viện VIAM</t>
        </is>
      </c>
    </row>
    <row r="4">
      <c r="A4" t="inlineStr">
        <is>
          <t>Lê Việt Anh</t>
        </is>
      </c>
      <c r="B4" t="inlineStr">
        <is>
          <t>Thạc sĩ</t>
        </is>
      </c>
      <c r="C4" t="inlineStr">
        <is>
          <t>Trung tâm NCKH - Viện VIAM</t>
        </is>
      </c>
    </row>
    <row r="5">
      <c r="A5" t="inlineStr">
        <is>
          <t>Lê Minh Khánh</t>
        </is>
      </c>
      <c r="B5" t="inlineStr">
        <is>
          <t>Bác sĩ</t>
        </is>
      </c>
      <c r="C5" t="inlineStr">
        <is>
          <t>Phòng khám VIAM</t>
        </is>
      </c>
    </row>
    <row r="6">
      <c r="A6" t="inlineStr">
        <is>
          <t>Nguyễn Công Khẩn</t>
        </is>
      </c>
      <c r="B6" t="inlineStr">
        <is>
          <t>GS.TS.</t>
        </is>
      </c>
      <c r="C6" t="inlineStr">
        <is>
          <t>Hội đồng Đạo đức Y sinh Quốc gia</t>
        </is>
      </c>
    </row>
    <row r="7">
      <c r="A7" t="inlineStr">
        <is>
          <t>Nguyễn Xuân Ninh</t>
        </is>
      </c>
      <c r="B7" t="inlineStr">
        <is>
          <t>PGS.TS.BS.</t>
        </is>
      </c>
      <c r="C7" t="inlineStr">
        <is>
          <t>Viện Y học Ứng dụng Việt Nam</t>
        </is>
      </c>
    </row>
    <row r="8">
      <c r="A8" t="inlineStr">
        <is>
          <t>Lê Bạch Mai</t>
        </is>
      </c>
      <c r="B8" t="inlineStr">
        <is>
          <t>PGS.TS.BS.</t>
        </is>
      </c>
      <c r="C8" t="inlineStr">
        <is>
          <t>Nguyên Phó Viện trưởng Viện Dinh dưỡng QG</t>
        </is>
      </c>
    </row>
    <row r="9">
      <c r="A9" t="inlineStr">
        <is>
          <t>Nguyễn Thị Lâm</t>
        </is>
      </c>
      <c r="B9" t="inlineStr">
        <is>
          <t>PGS.TS.BS.</t>
        </is>
      </c>
      <c r="C9" t="inlineStr">
        <is>
          <t>Nguyên Phó Viện trưởng Viện Dinh dưỡng QG</t>
        </is>
      </c>
    </row>
    <row r="10">
      <c r="A10" t="inlineStr">
        <is>
          <t>Nguyễn Quang Dũng</t>
        </is>
      </c>
      <c r="B10" t="inlineStr">
        <is>
          <t>PGS.TS.BS.</t>
        </is>
      </c>
      <c r="C10" t="inlineStr">
        <is>
          <t>Bộ môn Dinh dưỡng - ĐH Y Hà Nội</t>
        </is>
      </c>
    </row>
    <row r="11">
      <c r="A11" t="inlineStr">
        <is>
          <t>Hoàng Hà Linh</t>
        </is>
      </c>
      <c r="B11" t="inlineStr">
        <is>
          <t>Thạc sĩ</t>
        </is>
      </c>
      <c r="C11" t="inlineStr">
        <is>
          <t>Trung tâm NCKH - Viện VIAM</t>
        </is>
      </c>
    </row>
    <row r="12">
      <c r="A12" t="inlineStr">
        <is>
          <t>Trương Phan Hồng Hà</t>
        </is>
      </c>
      <c r="B12" t="inlineStr">
        <is>
          <t>Thạc sĩ</t>
        </is>
      </c>
      <c r="C12" t="inlineStr">
        <is>
          <t>Viện Y học Ứng dụng Việt Nam</t>
        </is>
      </c>
    </row>
    <row r="13">
      <c r="A13" t="inlineStr">
        <is>
          <t>Trần Quang Trung</t>
        </is>
      </c>
      <c r="B13" t="inlineStr">
        <is>
          <t>PGS.TS.</t>
        </is>
      </c>
      <c r="C13" t="inlineStr">
        <is>
          <t>Hiệp hội Sữa Việt Nam</t>
        </is>
      </c>
    </row>
    <row r="14">
      <c r="A14" t="inlineStr">
        <is>
          <t>Phạm Văn Hoàn</t>
        </is>
      </c>
      <c r="B14" t="inlineStr">
        <is>
          <t>PGS.TS.</t>
        </is>
      </c>
      <c r="C14" t="inlineStr">
        <is>
          <t>Viện Y học Ứng dụng Việt Nam</t>
        </is>
      </c>
    </row>
    <row r="15">
      <c r="A15" t="inlineStr">
        <is>
          <t>Ninh Thị Nhung</t>
        </is>
      </c>
      <c r="B15" t="inlineStr">
        <is>
          <t>PGS.TS.</t>
        </is>
      </c>
      <c r="C15" t="inlineStr">
        <is>
          <t>Trường Đại học Y Dược Thái Bình</t>
        </is>
      </c>
    </row>
    <row r="16">
      <c r="A16" t="inlineStr">
        <is>
          <t>Trần Văn Ơn</t>
        </is>
      </c>
      <c r="B16" t="inlineStr">
        <is>
          <t>PGS.TS.</t>
        </is>
      </c>
      <c r="C16" t="inlineStr">
        <is>
          <t>Trường Đại học Dược Hà Nội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sheetData>
    <row r="1">
      <c r="A1" t="inlineStr">
        <is>
          <t>TOKEN_TAG</t>
        </is>
      </c>
      <c r="B1" t="inlineStr">
        <is>
          <t>MÃ_MỤC</t>
        </is>
      </c>
      <c r="C1" t="inlineStr">
        <is>
          <t>MÔ_TẢ</t>
        </is>
      </c>
    </row>
    <row r="2">
      <c r="A2" t="inlineStr">
        <is>
          <t>{{TEN_DE_TAI}}</t>
        </is>
      </c>
      <c r="B2" t="inlineStr">
        <is>
          <t>A01</t>
        </is>
      </c>
      <c r="C2" t="inlineStr">
        <is>
          <t>Tên đề tài nghiên cứu</t>
        </is>
      </c>
    </row>
    <row r="3">
      <c r="A3" t="inlineStr">
        <is>
          <t>{{NAM}}</t>
        </is>
      </c>
      <c r="B3" t="inlineStr">
        <is>
          <t>A03</t>
        </is>
      </c>
      <c r="C3" t="inlineStr">
        <is>
          <t>Năm thực hiện hồ sơ</t>
        </is>
      </c>
    </row>
    <row r="4">
      <c r="A4" t="inlineStr">
        <is>
          <t>{{DON_VI_CHU_TRI}}</t>
        </is>
      </c>
      <c r="B4" t="inlineStr">
        <is>
          <t>A04</t>
        </is>
      </c>
      <c r="C4" t="inlineStr">
        <is>
          <t>Cơ quan chủ trì</t>
        </is>
      </c>
    </row>
    <row r="5">
      <c r="A5" t="inlineStr">
        <is>
          <t>{{DON_VI_DOI_TAC}}</t>
        </is>
      </c>
      <c r="B5" t="inlineStr">
        <is>
          <t>A06</t>
        </is>
      </c>
      <c r="C5" t="inlineStr">
        <is>
          <t>Cơ quan phối hợp (tùy chọn)</t>
        </is>
      </c>
    </row>
    <row r="6">
      <c r="A6" t="inlineStr">
        <is>
          <t>{{THOI_GIAN_BAT_DAU}}</t>
        </is>
      </c>
      <c r="B6" t="inlineStr">
        <is>
          <t>A05</t>
        </is>
      </c>
      <c r="C6" t="inlineStr">
        <is>
          <t>Mốc thời gian bắt đầu (MM/YYYY)</t>
        </is>
      </c>
    </row>
    <row r="7">
      <c r="A7" t="inlineStr">
        <is>
          <t>{{THOI_GIAN_KET_THUC}}</t>
        </is>
      </c>
      <c r="B7" t="inlineStr">
        <is>
          <t>A05</t>
        </is>
      </c>
      <c r="C7" t="inlineStr">
        <is>
          <t>Mốc thời gian kết thúc (MM/YYYY)</t>
        </is>
      </c>
    </row>
    <row r="8">
      <c r="A8" t="inlineStr">
        <is>
          <t>{{DIA_DIEM_TRIEN_KHAI}}</t>
        </is>
      </c>
      <c r="B8" t="inlineStr">
        <is>
          <t>A07</t>
        </is>
      </c>
      <c r="C8" t="inlineStr">
        <is>
          <t>Địa điểm triển khai nghiên cứu</t>
        </is>
      </c>
    </row>
    <row r="9">
      <c r="A9" t="inlineStr">
        <is>
          <t>{{DAU_MOI_LIEN_HE}}</t>
        </is>
      </c>
      <c r="B9" t="inlineStr">
        <is>
          <t>A08</t>
        </is>
      </c>
      <c r="C9" t="inlineStr">
        <is>
          <t>Đầu mối liên hệ thư mời</t>
        </is>
      </c>
    </row>
    <row r="10">
      <c r="A10" t="inlineStr">
        <is>
          <t>{{CHU_NHIEM_HO_TEN}}</t>
        </is>
      </c>
      <c r="B10" t="inlineStr">
        <is>
          <t>B01</t>
        </is>
      </c>
      <c r="C10" t="inlineStr">
        <is>
          <t>Họ tên Chủ nhiệm đề tài</t>
        </is>
      </c>
    </row>
    <row r="11">
      <c r="A11" t="inlineStr">
        <is>
          <t>{{CHU_NHIEM_TEN}}</t>
        </is>
      </c>
      <c r="B11" t="inlineStr">
        <is>
          <t>B01</t>
        </is>
      </c>
      <c r="C11" t="inlineStr">
        <is>
          <t>Tên riêng Chủ nhiệm đề tài</t>
        </is>
      </c>
    </row>
    <row r="12">
      <c r="A12" t="inlineStr">
        <is>
          <t>{{CHU_NHIEM_DON_VI}}</t>
        </is>
      </c>
      <c r="B12" t="inlineStr">
        <is>
          <t>B01</t>
        </is>
      </c>
      <c r="C12" t="inlineStr">
        <is>
          <t>Đơn vị công tác Chủ nhiệm đề tài</t>
        </is>
      </c>
    </row>
    <row r="13">
      <c r="A13" t="inlineStr">
        <is>
          <t>{{DONG_CHU_NHIEM_HO_TEN}}</t>
        </is>
      </c>
      <c r="B13" t="inlineStr">
        <is>
          <t>B02</t>
        </is>
      </c>
      <c r="C13" t="inlineStr">
        <is>
          <t>Họ tên Đồng chủ nhiệm đề tài</t>
        </is>
      </c>
    </row>
    <row r="14">
      <c r="A14" t="inlineStr">
        <is>
          <t>{{THU_KY_DE_TAI}}</t>
        </is>
      </c>
      <c r="B14" t="inlineStr">
        <is>
          <t>B03</t>
        </is>
      </c>
      <c r="C14" t="inlineStr">
        <is>
          <t>Họ tên Thư ký đề tài</t>
        </is>
      </c>
    </row>
    <row r="15">
      <c r="A15" t="inlineStr">
        <is>
          <t>{{DANH_SACH_NGHIEN_CUU_VIEN}}</t>
        </is>
      </c>
      <c r="B15" t="inlineStr">
        <is>
          <t>B04-B20</t>
        </is>
      </c>
      <c r="C15" t="inlineStr">
        <is>
          <t>Danh sách nghiên cứu viên</t>
        </is>
      </c>
    </row>
    <row r="16">
      <c r="A16" t="inlineStr">
        <is>
          <t>{{CHU_TICH_HD_DAO_DUC}}</t>
        </is>
      </c>
      <c r="B16" t="inlineStr">
        <is>
          <t>C01</t>
        </is>
      </c>
      <c r="C16" t="inlineStr">
        <is>
          <t>Chủ tịch HĐ Đạo đức</t>
        </is>
      </c>
    </row>
    <row r="17">
      <c r="A17" t="inlineStr">
        <is>
          <t>{{CHU_TICH_HD_KHOA_HOC}}</t>
        </is>
      </c>
      <c r="B17" t="inlineStr">
        <is>
          <t>D01</t>
        </is>
      </c>
      <c r="C17" t="inlineStr">
        <is>
          <t>Chủ tịch HĐ Khoa học</t>
        </is>
      </c>
    </row>
    <row r="18">
      <c r="A18" t="inlineStr">
        <is>
          <t>{{CHU_TICH_HD_NGHIEM_THU}}</t>
        </is>
      </c>
      <c r="B18" t="inlineStr">
        <is>
          <t>E01</t>
        </is>
      </c>
      <c r="C18" t="inlineStr">
        <is>
          <t>Chủ tịch HĐ Nghiệm thu</t>
        </is>
      </c>
    </row>
    <row r="19">
      <c r="A19" t="inlineStr">
        <is>
          <t>{{BOI_CANH_DU_AN}}</t>
        </is>
      </c>
      <c r="B19" t="inlineStr">
        <is>
          <t>G01</t>
        </is>
      </c>
      <c r="C19" t="inlineStr">
        <is>
          <t>Bối cảnh / lý do triển khai đề tài</t>
        </is>
      </c>
    </row>
    <row r="20">
      <c r="A20" t="inlineStr">
        <is>
          <t>{{DIA_DIEM_HOP}}</t>
        </is>
      </c>
      <c r="B20" t="inlineStr">
        <is>
          <t>G02</t>
        </is>
      </c>
      <c r="C20" t="inlineStr">
        <is>
          <t>Địa điểm họp Hội đồng</t>
        </is>
      </c>
    </row>
    <row r="21">
      <c r="A21" t="inlineStr">
        <is>
          <t>{{THOI_GIAN_HOP}}</t>
        </is>
      </c>
      <c r="B21" t="inlineStr">
        <is>
          <t>G03</t>
        </is>
      </c>
      <c r="C21" t="inlineStr">
        <is>
          <t>Thời gian họp Hội đồng (giờ, ngày tháng)</t>
        </is>
      </c>
    </row>
    <row r="22">
      <c r="A22" t="inlineStr">
        <is>
          <t>{{SO_CONG_VAN}}</t>
        </is>
      </c>
      <c r="B22" t="inlineStr">
        <is>
          <t>G04</t>
        </is>
      </c>
      <c r="C22" t="inlineStr">
        <is>
          <t>Số công văn mời chuyên gia</t>
        </is>
      </c>
    </row>
    <row r="23">
      <c r="A23" t="inlineStr">
        <is>
          <t>{{NGAY_CONG_VAN}}</t>
        </is>
      </c>
      <c r="B23" t="inlineStr">
        <is>
          <t>G05</t>
        </is>
      </c>
      <c r="C23" t="inlineStr">
        <is>
          <t>Ngày ký công văn mời chuyên gia</t>
        </is>
      </c>
    </row>
    <row r="24">
      <c r="A24" t="inlineStr">
        <is>
          <t>{{SO_QD_GIAO_DE_TAI}}</t>
        </is>
      </c>
      <c r="B24" t="inlineStr">
        <is>
          <t>G06</t>
        </is>
      </c>
      <c r="C24" t="inlineStr">
        <is>
          <t>Số Quyết định giao đề tài (00)</t>
        </is>
      </c>
    </row>
    <row r="25">
      <c r="A25" t="inlineStr">
        <is>
          <t>{{NGAY_QD_GIAO_DE_TAI}}</t>
        </is>
      </c>
      <c r="B25" t="inlineStr">
        <is>
          <t>G07</t>
        </is>
      </c>
      <c r="C25" t="inlineStr">
        <is>
          <t>Ngày ký QĐ giao đề tài</t>
        </is>
      </c>
    </row>
    <row r="26">
      <c r="A26" t="inlineStr">
        <is>
          <t>{{SO_QD_TLHD_DAO_DUC}}</t>
        </is>
      </c>
      <c r="B26" t="inlineStr">
        <is>
          <t>G08</t>
        </is>
      </c>
      <c r="C26" t="inlineStr">
        <is>
          <t>Số QĐ TLHĐ Đạo đức (01)</t>
        </is>
      </c>
    </row>
    <row r="27">
      <c r="A27" t="inlineStr">
        <is>
          <t>{{NGAY_QD_TLHD_DAO_DUC}}</t>
        </is>
      </c>
      <c r="B27" t="inlineStr">
        <is>
          <t>G09</t>
        </is>
      </c>
      <c r="C27" t="inlineStr">
        <is>
          <t>Ngày ký QĐ TLHĐ Đạo đức</t>
        </is>
      </c>
    </row>
    <row r="28">
      <c r="A28" t="inlineStr">
        <is>
          <t>{{SO_QD_TLHD_KHOA_HOC}}</t>
        </is>
      </c>
      <c r="B28" t="inlineStr">
        <is>
          <t>G10</t>
        </is>
      </c>
      <c r="C28" t="inlineStr">
        <is>
          <t>Số QĐ TLHĐ Khoa học (05)</t>
        </is>
      </c>
    </row>
    <row r="29">
      <c r="A29" t="inlineStr">
        <is>
          <t>{{NGAY_QD_TLHD_KHOA_HOC}}</t>
        </is>
      </c>
      <c r="B29" t="inlineStr">
        <is>
          <t>G11</t>
        </is>
      </c>
      <c r="C29" t="inlineStr">
        <is>
          <t>Ngày ký QĐ TLHĐ Khoa học</t>
        </is>
      </c>
    </row>
    <row r="30">
      <c r="A30" t="inlineStr">
        <is>
          <t>{{SO_QD_TLHD_PHE_DUYET}}</t>
        </is>
      </c>
      <c r="B30" t="inlineStr">
        <is>
          <t>G14</t>
        </is>
      </c>
      <c r="C30" t="inlineStr">
        <is>
          <t>Số QĐ Phê duyệt đề tài (08)</t>
        </is>
      </c>
    </row>
    <row r="31">
      <c r="A31" t="inlineStr">
        <is>
          <t>{{NGAY_QD_PHE_DUYET}}</t>
        </is>
      </c>
      <c r="B31" t="inlineStr">
        <is>
          <t>G15</t>
        </is>
      </c>
      <c r="C31" t="inlineStr">
        <is>
          <t>Ngày ký QĐ Phê duyệt đề tài</t>
        </is>
      </c>
    </row>
    <row r="32">
      <c r="A32" t="inlineStr">
        <is>
          <t>{{SO_QD_TLHD_NGHIEM_THU}}</t>
        </is>
      </c>
      <c r="B32" t="inlineStr">
        <is>
          <t>G12</t>
        </is>
      </c>
      <c r="C32" t="inlineStr">
        <is>
          <t>Số QĐ TLHĐ Nghiệm thu (9)</t>
        </is>
      </c>
    </row>
    <row r="33">
      <c r="A33" t="inlineStr">
        <is>
          <t>{{NGAY_QD_TLHD_NGHIEM_THU}}</t>
        </is>
      </c>
      <c r="B33" t="inlineStr">
        <is>
          <t>G13</t>
        </is>
      </c>
      <c r="C33" t="inlineStr">
        <is>
          <t>Ngày ký QĐ TLHĐ Nghiệm thu</t>
        </is>
      </c>
    </row>
    <row r="34">
      <c r="A34" t="inlineStr">
        <is>
          <t>{{SO_QD_CONG_NHAN}}</t>
        </is>
      </c>
      <c r="B34" t="inlineStr">
        <is>
          <t>G16</t>
        </is>
      </c>
      <c r="C34" t="inlineStr">
        <is>
          <t>Số QĐ Công nhận kết quả (12)</t>
        </is>
      </c>
    </row>
    <row r="35">
      <c r="A35" t="inlineStr">
        <is>
          <t>{{NGAY_QD_CONG_NHAN}}</t>
        </is>
      </c>
      <c r="B35" t="inlineStr">
        <is>
          <t>G17</t>
        </is>
      </c>
      <c r="C35" t="inlineStr">
        <is>
          <t>Ngày ký QĐ Công nhận kết quả</t>
        </is>
      </c>
    </row>
    <row r="36">
      <c r="A36" t="inlineStr">
        <is>
          <t>{{NGAY_HOP_DAO_DUC}}</t>
        </is>
      </c>
      <c r="B36" t="inlineStr">
        <is>
          <t>G18</t>
        </is>
      </c>
      <c r="C36" t="inlineStr">
        <is>
          <t>Ngày họp HĐ Đạo đức (02, 03)</t>
        </is>
      </c>
    </row>
    <row r="37">
      <c r="A37" t="inlineStr">
        <is>
          <t>{{NGAY_HOP_KHOA_HOC}}</t>
        </is>
      </c>
      <c r="B37" t="inlineStr">
        <is>
          <t>G19</t>
        </is>
      </c>
      <c r="C37" t="inlineStr">
        <is>
          <t>Ngày họp HĐ Khoa học (06, 07)</t>
        </is>
      </c>
    </row>
    <row r="38">
      <c r="A38" t="inlineStr">
        <is>
          <t>{{NGAY_HOP_NGHIEM_THU}}</t>
        </is>
      </c>
      <c r="B38" t="inlineStr">
        <is>
          <t>G20</t>
        </is>
      </c>
      <c r="C38" t="inlineStr">
        <is>
          <t>Ngày họp HĐ Nghiệm thu (10,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VIAMRC</dc:creator>
  <dcterms:created xmlns:dcterms="http://purl.org/dc/terms/" xmlns:xsi="http://www.w3.org/2001/XMLSchema-instance" xsi:type="dcterms:W3CDTF">2026-08-21T09:55:01Z</dcterms:created>
  <dcterms:modified xmlns:dcterms="http://purl.org/dc/terms/" xmlns:xsi="http://www.w3.org/2001/XMLSchema-instance" xsi:type="dcterms:W3CDTF">2026-08-31T13:55:52Z</dcterms:modified>
  <cp:lastModifiedBy>VIAMRC</cp:lastModifiedBy>
</cp:coreProperties>
</file>