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9040" windowHeight="15720" tabRatio="600" firstSheet="0" activeTab="0" autoFilterDateGrouping="1"/>
  </bookViews>
  <sheets>
    <sheet xmlns:r="http://schemas.openxmlformats.org/officeDocument/2006/relationships" name="Đề tài - Bánh ăn dặm VIAM 2027" sheetId="1" state="visible" r:id="rId1"/>
    <sheet xmlns:r="http://schemas.openxmlformats.org/officeDocument/2006/relationships" name="Đề tài - Mẫu trắng dự án mới" sheetId="2" state="visible" r:id="rId2"/>
    <sheet xmlns:r="http://schemas.openxmlformats.org/officeDocument/2006/relationships" name="_NhanSu" sheetId="3" state="hidden" r:id="rId3"/>
    <sheet xmlns:r="http://schemas.openxmlformats.org/officeDocument/2006/relationships" name="_Tokens" sheetId="4" state="visible" r:id="rId4"/>
    <sheet xmlns:r="http://schemas.openxmlformats.org/officeDocument/2006/relationships" name="_BoHoSo" sheetId="5" state="visible" r:id="rId5"/>
  </sheets>
  <definedNames/>
  <calcPr calcId="191029" fullCalcOnLoad="1"/>
</workbook>
</file>

<file path=xl/styles.xml><?xml version="1.0" encoding="utf-8"?>
<styleSheet xmlns="http://schemas.openxmlformats.org/spreadsheetml/2006/main">
  <numFmts count="1">
    <numFmt numFmtId="164" formatCode="DD/MM/YYYY"/>
  </numFmts>
  <fonts count="8">
    <font>
      <name val="Arial"/>
      <family val="2"/>
      <color theme="1"/>
      <sz val="11"/>
      <scheme val="minor"/>
    </font>
    <font>
      <name val="Arial"/>
      <family val="2"/>
      <b val="1"/>
      <color theme="1"/>
      <sz val="11"/>
      <scheme val="minor"/>
    </font>
    <font>
      <name val="Arial"/>
      <family val="2"/>
      <b val="1"/>
      <color indexed="9"/>
      <sz val="15"/>
      <scheme val="minor"/>
    </font>
    <font>
      <name val="Arial"/>
      <family val="2"/>
      <b val="1"/>
      <color theme="1"/>
      <sz val="12"/>
      <scheme val="minor"/>
    </font>
    <font>
      <name val="Arial"/>
      <family val="2"/>
      <b val="1"/>
      <color indexed="9"/>
      <sz val="11"/>
      <scheme val="minor"/>
    </font>
    <font>
      <b val="1"/>
    </font>
    <font>
      <name val="Arial"/>
      <b val="1"/>
      <color rgb="001F497D"/>
      <sz val="10"/>
    </font>
    <font>
      <name val="Arial"/>
      <sz val="10"/>
    </font>
  </fonts>
  <fills count="7">
    <fill>
      <patternFill/>
    </fill>
    <fill>
      <patternFill patternType="gray125"/>
    </fill>
    <fill>
      <patternFill patternType="solid">
        <fgColor indexed="18"/>
        <bgColor indexed="64"/>
      </patternFill>
    </fill>
    <fill>
      <patternFill patternType="solid">
        <fgColor indexed="22"/>
        <bgColor indexed="64"/>
      </patternFill>
    </fill>
    <fill>
      <patternFill patternType="solid">
        <fgColor indexed="44"/>
        <bgColor indexed="64"/>
      </patternFill>
    </fill>
    <fill>
      <patternFill patternType="solid">
        <fgColor indexed="43"/>
        <bgColor indexed="64"/>
      </patternFill>
    </fill>
    <fill>
      <patternFill patternType="solid">
        <fgColor rgb="00DCE6F1"/>
        <bgColor rgb="00DCE6F1"/>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0">
    <xf numFmtId="0" fontId="0" fillId="0" borderId="0" pivotButton="0" quotePrefix="0" xfId="0"/>
    <xf numFmtId="0" fontId="1" fillId="3" borderId="0" pivotButton="0" quotePrefix="0" xfId="0"/>
    <xf numFmtId="0" fontId="4" fillId="4" borderId="0" pivotButton="0" quotePrefix="0" xfId="0"/>
    <xf numFmtId="0" fontId="0" fillId="5" borderId="0" pivotButton="0" quotePrefix="0" xfId="0"/>
    <xf numFmtId="0" fontId="2" fillId="2" borderId="0" pivotButton="0" quotePrefix="0" xfId="0"/>
    <xf numFmtId="0" fontId="3" fillId="0" borderId="0" pivotButton="0" quotePrefix="0" xfId="0"/>
    <xf numFmtId="0" fontId="5" fillId="0" borderId="0" pivotButton="0" quotePrefix="0" xfId="0"/>
    <xf numFmtId="0" fontId="6" fillId="6" borderId="1" pivotButton="0" quotePrefix="0" xfId="0"/>
    <xf numFmtId="0" fontId="7" fillId="0" borderId="1" pivotButton="0" quotePrefix="0" xfId="0"/>
    <xf numFmtId="164" fontId="7" fillId="0" borderId="1" pivotButton="0" quotePrefix="0" xfId="0"/>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sheetPr>
    <outlinePr summaryBelow="1" summaryRight="1"/>
    <pageSetUpPr/>
  </sheetPr>
  <dimension ref="A1:F97"/>
  <sheetViews>
    <sheetView tabSelected="1" topLeftCell="C42" workbookViewId="0">
      <selection activeCell="E73" sqref="E73"/>
    </sheetView>
  </sheetViews>
  <sheetFormatPr baseColWidth="8" defaultRowHeight="14.25"/>
  <cols>
    <col width="8.5" bestFit="1" customWidth="1" min="1" max="1"/>
    <col width="94.125" bestFit="1" customWidth="1" min="2" max="2"/>
    <col width="66.375" bestFit="1" customWidth="1" min="3" max="3"/>
    <col width="31.125" bestFit="1" customWidth="1" min="4" max="4"/>
    <col width="48.125" bestFit="1" customWidth="1" min="5" max="5"/>
    <col width="40.5" bestFit="1" customWidth="1" min="6" max="6"/>
  </cols>
  <sheetData>
    <row r="1" ht="19.5" customHeight="1">
      <c r="A1" s="4" t="inlineStr">
        <is>
          <t>BẢNG NHẬP THÔNG TIN VÀ CHECKLIST KIỂM TRA HỒ SƠ NGHIÊN CỨU KHOA HỌC</t>
        </is>
      </c>
    </row>
    <row r="2" ht="15.75" customHeight="1">
      <c r="A2" s="5">
        <f>IF(COUNTIF(F6:F150, "*BÁO LỖI*")&gt;0, "⚠️ BÁO LỖI: PHÁT HIỆN THIẾU THÔNG TIN BẮT BUỘC CỦA BỘ HỒ SƠ ĐÃ CHỌN - VUI LÒNG BỔ SUNG CÁC Ô MÀU ĐỎ DƯỚI ĐÂY", "🎉 HOÀN THÀNH 100%: TẤT CẢ THÔNG TIN BẮT BUỘC CHO BỘ HỒ SƠ ĐÃ CHỌN ĐÃ ĐẦY ĐỦ - SẴN SÀNG CHẠY RA BỘ HỒ SƠ")</f>
        <v/>
      </c>
    </row>
    <row r="3">
      <c r="A3" t="inlineStr">
        <is>
          <t>BO_HO_SO</t>
        </is>
      </c>
      <c r="B3" t="inlineStr">
        <is>
          <t>CHỌN BỘ HỒ SƠ (A: NCKH &amp; Đánh giá công thức / B: Thử nghiệm lâm sàng / C: Quan sát dịch tễ / D: Chuyển giao CN)</t>
        </is>
      </c>
      <c r="C3" t="inlineStr">
        <is>
          <t>A</t>
        </is>
      </c>
    </row>
    <row r="4" ht="15" customHeight="1">
      <c r="A4" s="1" t="inlineStr">
        <is>
          <t>MÃ MỤC</t>
        </is>
      </c>
      <c r="B4" s="1" t="inlineStr">
        <is>
          <t>HẠNG MỤC THÔNG TIN CẦN ĐIỀN</t>
        </is>
      </c>
      <c r="C4" s="1" t="inlineStr">
        <is>
          <t>HỌ VÀ TÊN / NỘI DUNG (Ô VÀNG BẮT BUỘC / KHÔNG NỀN TÙY CHỌN)</t>
        </is>
      </c>
      <c r="D4" s="1" t="inlineStr">
        <is>
          <t>HỌC HÀM / HỌC VỊ / TÊN FILE CV</t>
        </is>
      </c>
      <c r="E4" s="1" t="inlineStr">
        <is>
          <t>CHỨC VỤ &amp; NƠI CÔNG TÁC / ĐƯỜNG DẪN LINK CV</t>
        </is>
      </c>
      <c r="F4" s="1" t="inlineStr">
        <is>
          <t>TRẠNG THÁI KIỂM TRA (TỰ ĐỘNG)</t>
        </is>
      </c>
    </row>
    <row r="5" ht="15" customHeight="1">
      <c r="A5" s="2" t="inlineStr">
        <is>
          <t>SEC_A</t>
        </is>
      </c>
      <c r="B5" s="2" t="inlineStr">
        <is>
          <t>PHẦN A: THÔNG TIN CHUNG DỰ ÁN &amp; ĐỀ TÀI (BẮT BUỘC TẤT CẢ CÁC BỘ)</t>
        </is>
      </c>
      <c r="C5" s="2" t="n"/>
      <c r="D5" s="2" t="n"/>
      <c r="E5" s="2" t="n"/>
      <c r="F5" s="2" t="n"/>
    </row>
    <row r="6">
      <c r="A6" t="inlineStr">
        <is>
          <t>{{TEN_DE_TAI}}</t>
        </is>
      </c>
      <c r="B6" t="inlineStr">
        <is>
          <t>Tên đề tài nghiên cứu</t>
        </is>
      </c>
      <c r="C6" s="3" t="inlineStr">
        <is>
          <t>Tư vấn hiệu quả công thức sản phẩm Bánh ăn dặm VIAM</t>
        </is>
      </c>
      <c r="D6" s="3" t="n"/>
      <c r="E6" s="3" t="n"/>
      <c r="F6">
        <f>IF(ISBLANK(C6), "❌ CHƯA ĐIỀN (BÁO LỖI)", "✅ Xong")</f>
        <v/>
      </c>
    </row>
    <row r="7">
      <c r="A7" t="inlineStr">
        <is>
          <t>{{LOAI_HINH_NC}}</t>
        </is>
      </c>
      <c r="B7" t="inlineStr">
        <is>
          <t>Loại hình nghiên cứu (TVCT_ĐGHQ / TNLS)</t>
        </is>
      </c>
      <c r="C7" s="3" t="inlineStr">
        <is>
          <t>TVCT_ĐGHQ</t>
        </is>
      </c>
      <c r="D7" s="3" t="n"/>
      <c r="E7" s="3" t="n"/>
      <c r="F7">
        <f>IF(ISBLANK(C7), "❌ CHƯA ĐIỀN (BÁO LỖI)", "✅ Xong")</f>
        <v/>
      </c>
    </row>
    <row r="8">
      <c r="A8" t="inlineStr">
        <is>
          <t>{{NAM}}</t>
        </is>
      </c>
      <c r="B8" t="inlineStr">
        <is>
          <t>Năm thực hiện hồ sơ (Bắt buộc điền năm)</t>
        </is>
      </c>
      <c r="C8" s="3" t="n">
        <v>2027</v>
      </c>
      <c r="D8" s="3" t="n"/>
      <c r="E8" s="3" t="n"/>
      <c r="F8">
        <f>IF(ISBLANK(C8), "❌ CHƯA ĐIỀN (BÁO LỖI)", "✅ Xong")</f>
        <v/>
      </c>
    </row>
    <row r="9">
      <c r="A9" t="inlineStr">
        <is>
          <t>{{DON_VI_CHU_TRI}}</t>
        </is>
      </c>
      <c r="B9" t="inlineStr">
        <is>
          <t>Cơ quan chủ trì</t>
        </is>
      </c>
      <c r="C9" s="3" t="inlineStr">
        <is>
          <t>Viện Y học Ứng dụng Việt Nam (VIAM)</t>
        </is>
      </c>
      <c r="D9" s="3" t="n"/>
      <c r="E9" s="3" t="n"/>
      <c r="F9">
        <f>IF(ISBLANK(C9), "❌ CHƯA ĐIỀN (BÁO LỖI)", "✅ Xong")</f>
        <v/>
      </c>
    </row>
    <row r="10">
      <c r="A10" t="inlineStr">
        <is>
          <t>{{THOI_GIAN_BAT_DAU}}</t>
        </is>
      </c>
      <c r="B10" t="inlineStr">
        <is>
          <t>Thời gian triển khai NC</t>
        </is>
      </c>
      <c r="C10" s="3" t="inlineStr">
        <is>
          <t>Tháng 01/2027 đến tháng 12/2027</t>
        </is>
      </c>
      <c r="D10" s="3" t="n"/>
      <c r="E10" s="3" t="n"/>
      <c r="F10">
        <f>IF(ISBLANK(C10), "❌ CHƯA ĐIỀN (BÁO LỖI)", "✅ Xong")</f>
        <v/>
      </c>
    </row>
    <row r="11" ht="15" customHeight="1">
      <c r="A11" t="inlineStr">
        <is>
          <t>{{DON_VI_DOI_TAC}}</t>
        </is>
      </c>
      <c r="B11" t="inlineStr">
        <is>
          <t>Cơ quan phối hợp (Tùy chọn)</t>
        </is>
      </c>
      <c r="C11" s="3" t="n"/>
      <c r="D11" s="3" t="n"/>
      <c r="E11" s="3" t="n"/>
      <c r="F11">
        <f>IF(ISBLANK(C11), "⚪ Tùy chọn (Trống)", "✅ Xong")</f>
        <v/>
      </c>
    </row>
    <row r="12">
      <c r="A12" t="inlineStr">
        <is>
          <t>{{DIA_DIEM_TRIEN_KHAI}}</t>
        </is>
      </c>
      <c r="B12" t="inlineStr">
        <is>
          <t>Địa điểm triển khai nghiên cứu (Tùy chọn)</t>
        </is>
      </c>
      <c r="C12" s="3" t="n"/>
      <c r="D12" s="3" t="n"/>
      <c r="E12" s="3" t="n"/>
      <c r="F12">
        <f>IF(ISBLANK(C12), "⚪ Tùy chọn (Trống)", "✅ Xong")</f>
        <v/>
      </c>
    </row>
    <row r="13">
      <c r="A13" t="inlineStr">
        <is>
          <t>{{DAU_MOI_LIEN_HE}}</t>
        </is>
      </c>
      <c r="B13" t="inlineStr">
        <is>
          <t>Đầu mối liên hệ (họ tên, đơn vị, email, điện thoại - Tùy chọn)</t>
        </is>
      </c>
      <c r="C13" s="3" t="n"/>
      <c r="D13" s="3" t="n"/>
      <c r="E13" s="3" t="n"/>
      <c r="F13">
        <f>IF(ISBLANK(C13), "⚪ Tùy chọn (Trống)", "✅ Xong")</f>
        <v/>
      </c>
    </row>
    <row r="14">
      <c r="A14" s="8" t="inlineStr">
        <is>
          <t>{{BOI_CANH_DU_AN}}</t>
        </is>
      </c>
      <c r="B14" s="8" t="inlineStr">
        <is>
          <t>Bối cảnh / lý do triển khai đề tài (Điền nội dung hoặc để trống)</t>
        </is>
      </c>
      <c r="C14" s="8" t="inlineStr">
        <is>
          <t>Nghiên cứu về dinh dưỡng trẻ em</t>
        </is>
      </c>
      <c r="F14">
        <f>IF(ISBLANK(C14), "⚪ Tùy chọn (Trống)", "✅ Xong")</f>
        <v/>
      </c>
    </row>
    <row r="15">
      <c r="A15" s="8" t="inlineStr">
        <is>
          <t>{{DIA_DIEM_HOP}}</t>
        </is>
      </c>
      <c r="B15" s="8" t="inlineStr">
        <is>
          <t>Địa điểm họp Hội đồng (Tùy chọn - Để trống dùng địa chỉ Viện)</t>
        </is>
      </c>
      <c r="C15" s="8" t="inlineStr">
        <is>
          <t>Viện Y học ứng dụng Việt Nam</t>
        </is>
      </c>
      <c r="F15">
        <f>IF(ISBLANK(C15), "⚪ Tùy chọn (Trống)", "✅ Xong")</f>
        <v/>
      </c>
    </row>
    <row r="16">
      <c r="A16" s="8" t="inlineStr">
        <is>
          <t>{{THOI_GIAN_HOP}}</t>
        </is>
      </c>
      <c r="B16" s="8" t="inlineStr">
        <is>
          <t>Thời gian họp chung (giờ, ngày tháng - Tùy chọn)</t>
        </is>
      </c>
      <c r="C16" s="8" t="inlineStr">
        <is>
          <t>09:00, 15/10/2027</t>
        </is>
      </c>
      <c r="F16">
        <f>IF(ISBLANK(C16), "⚪ Tùy chọn (Trống)", "✅ Xong")</f>
        <v/>
      </c>
    </row>
    <row r="17">
      <c r="A17" s="8" t="inlineStr">
        <is>
          <t>{{SO_CONG_VAN}}</t>
        </is>
      </c>
      <c r="B17" s="8" t="inlineStr">
        <is>
          <t>Số công văn mời chuyên gia (Tùy chọn)</t>
        </is>
      </c>
      <c r="C17" s="8" t="n"/>
      <c r="F17">
        <f>IF(ISBLANK(C17), "⚪ Tùy chọn (Trống)", "✅ Xong")</f>
        <v/>
      </c>
    </row>
    <row r="18">
      <c r="A18" s="8" t="inlineStr">
        <is>
          <t>{{NGAY_CONG_VAN}}</t>
        </is>
      </c>
      <c r="B18" s="8" t="inlineStr">
        <is>
          <t>Ngày ký công văn mời chuyên gia (Tùy chọn)</t>
        </is>
      </c>
      <c r="C18" s="8" t="n"/>
      <c r="F18">
        <f>IF(ISBLANK(C18), "⚪ Tùy chọn (Trống)", "✅ Xong")</f>
        <v/>
      </c>
    </row>
    <row r="19">
      <c r="A19" s="8" t="inlineStr">
        <is>
          <t>{{SO_QD_GIAO_DE_TAI}}</t>
        </is>
      </c>
      <c r="B19" s="8" t="inlineStr">
        <is>
          <t>Số Quyết định giao đề tài - Mẫu 00 (Tùy chọn)</t>
        </is>
      </c>
      <c r="C19" s="8" t="n"/>
      <c r="F19">
        <f>IF(ISBLANK(C19), "⚪ Tùy chọn (Trống)", "✅ Xong")</f>
        <v/>
      </c>
    </row>
    <row r="20">
      <c r="A20" s="8" t="inlineStr">
        <is>
          <t>{{NGAY_QD_GIAO_DE_TAI}}</t>
        </is>
      </c>
      <c r="B20" s="8" t="inlineStr">
        <is>
          <t>Ngày ký QĐ giao đề tài (Tùy chọn)</t>
        </is>
      </c>
      <c r="C20" s="8" t="n"/>
      <c r="F20">
        <f>IF(ISBLANK(C20), "⚪ Tùy chọn (Trống)", "✅ Xong")</f>
        <v/>
      </c>
    </row>
    <row r="21">
      <c r="A21" s="2" t="inlineStr">
        <is>
          <t>SEC_B</t>
        </is>
      </c>
      <c r="B21" s="2" t="inlineStr">
        <is>
          <t>PHẦN B: BAN CHỦ NHIỆM &amp; NGHIÊN CỨU VIÊN ĐỀ TÀI (CHỦ NHIỆM BẮT BUỘC)</t>
        </is>
      </c>
      <c r="C21" s="2" t="n"/>
      <c r="D21" s="2" t="n"/>
      <c r="E21" s="2" t="n"/>
      <c r="F21" s="2" t="n"/>
    </row>
    <row r="22">
      <c r="A22" t="inlineStr">
        <is>
          <t>{{CHU_NHIEM_HO_TEN}}</t>
        </is>
      </c>
      <c r="B22" t="inlineStr">
        <is>
          <t>Chủ nhiệm đề tài (CNĐT - Bắt buộc)</t>
        </is>
      </c>
      <c r="C22" s="3" t="inlineStr">
        <is>
          <t>Trương Hồng Sơn</t>
        </is>
      </c>
      <c r="D22" s="3" t="inlineStr">
        <is>
          <t>TS.BS.</t>
        </is>
      </c>
      <c r="E22" s="3" t="inlineStr">
        <is>
          <t>Viện trưởng - Viện Y học Ứng dụng VN</t>
        </is>
      </c>
      <c r="F22">
        <f>IF(ISBLANK(C22), "❌ CHƯA ĐIỀN (BÁO LỖI)", "✅ Xong")</f>
        <v/>
      </c>
    </row>
    <row r="23">
      <c r="A23" t="inlineStr">
        <is>
          <t>{{DONG_CHU_NHIEM_HO_TEN}}</t>
        </is>
      </c>
      <c r="B23" t="inlineStr">
        <is>
          <t>Đồng Chủ nhiệm đề tài (Tùy chọn)</t>
        </is>
      </c>
      <c r="F23">
        <f>IF(ISBLANK(C23), "⚪ Tùy chọn (Trống)", "✅ Xong")</f>
        <v/>
      </c>
    </row>
    <row r="24">
      <c r="A24" t="inlineStr">
        <is>
          <t>{{THU_KY_DE_TAI}}</t>
        </is>
      </c>
      <c r="B24" t="inlineStr">
        <is>
          <t>Thư ký Đề tài (Khác Thư ký HĐ - Tùy chọn)</t>
        </is>
      </c>
      <c r="C24" t="inlineStr">
        <is>
          <t>Lưu Liên Hương</t>
        </is>
      </c>
      <c r="D24" t="inlineStr">
        <is>
          <t>Thạc sĩ</t>
        </is>
      </c>
      <c r="E24" t="inlineStr">
        <is>
          <t>Trung tâm NCKH - Viện VIAM</t>
        </is>
      </c>
      <c r="F24">
        <f>IF(ISBLANK(C24), "⚪ Tùy chọn (Trống)", "✅ Xong")</f>
        <v/>
      </c>
    </row>
    <row r="25">
      <c r="A25" t="inlineStr">
        <is>
          <t>{{DANH_SACH_NGHIEN_CUU_VIEN}}</t>
        </is>
      </c>
      <c r="B25" t="inlineStr">
        <is>
          <t>Nghiên cứu viên 1</t>
        </is>
      </c>
      <c r="C25" t="inlineStr">
        <is>
          <t>Lê Việt Anh</t>
        </is>
      </c>
      <c r="D25" t="inlineStr">
        <is>
          <t>Thạc sĩ</t>
        </is>
      </c>
      <c r="E25" t="inlineStr">
        <is>
          <t>Trung tâm NCKH - Viện VIAM</t>
        </is>
      </c>
      <c r="F25">
        <f>IF(ISBLANK(C25), "⚪ Tùy chọn (Trống)", "✅ Xong")</f>
        <v/>
      </c>
    </row>
    <row r="26">
      <c r="A26" t="inlineStr">
        <is>
          <t>B05</t>
        </is>
      </c>
      <c r="B26" t="inlineStr">
        <is>
          <t>Nghiên cứu viên 2</t>
        </is>
      </c>
      <c r="C26" t="inlineStr">
        <is>
          <t>Lê Minh Khánh</t>
        </is>
      </c>
      <c r="D26" t="inlineStr">
        <is>
          <t>Bác sĩ</t>
        </is>
      </c>
      <c r="E26" t="inlineStr">
        <is>
          <t>Phòng khám VIAM</t>
        </is>
      </c>
      <c r="F26">
        <f>IF(ISBLANK(C26), "⚪ Tùy chọn (Trống)", "✅ Xong")</f>
        <v/>
      </c>
    </row>
    <row r="27">
      <c r="A27" t="inlineStr">
        <is>
          <t>B06</t>
        </is>
      </c>
      <c r="B27" t="inlineStr">
        <is>
          <t>Nghiên cứu viên 3</t>
        </is>
      </c>
      <c r="F27">
        <f>IF(ISBLANK(C27), "⚪ Tùy chọn (Trống)", "✅ Xong")</f>
        <v/>
      </c>
    </row>
    <row r="28">
      <c r="A28" t="inlineStr">
        <is>
          <t>B07</t>
        </is>
      </c>
      <c r="B28" t="inlineStr">
        <is>
          <t>Nghiên cứu viên 4</t>
        </is>
      </c>
      <c r="F28">
        <f>IF(ISBLANK(C28), "⚪ Tùy chọn (Trống)", "✅ Xong")</f>
        <v/>
      </c>
    </row>
    <row r="29">
      <c r="A29" t="inlineStr">
        <is>
          <t>B08</t>
        </is>
      </c>
      <c r="B29" t="inlineStr">
        <is>
          <t>Nghiên cứu viên 5</t>
        </is>
      </c>
      <c r="F29">
        <f>IF(ISBLANK(C29), "⚪ Tùy chọn (Trống)", "✅ Xong")</f>
        <v/>
      </c>
    </row>
    <row r="30">
      <c r="A30" t="inlineStr">
        <is>
          <t>B09</t>
        </is>
      </c>
      <c r="B30" t="inlineStr">
        <is>
          <t>Nghiên cứu viên 6</t>
        </is>
      </c>
      <c r="F30">
        <f>IF(ISBLANK(C30), "⚪ Tùy chọn (Trống)", "✅ Xong")</f>
        <v/>
      </c>
    </row>
    <row r="31">
      <c r="A31" t="inlineStr">
        <is>
          <t>B10</t>
        </is>
      </c>
      <c r="B31" t="inlineStr">
        <is>
          <t>Nghiên cứu viên 7</t>
        </is>
      </c>
      <c r="F31">
        <f>IF(ISBLANK(C31), "⚪ Tùy chọn (Trống)", "✅ Xong")</f>
        <v/>
      </c>
    </row>
    <row r="32" ht="15" customHeight="1">
      <c r="A32" t="inlineStr">
        <is>
          <t>B11</t>
        </is>
      </c>
      <c r="B32" t="inlineStr">
        <is>
          <t>Nghiên cứu viên 8</t>
        </is>
      </c>
      <c r="F32">
        <f>IF(ISBLANK(C32), "⚪ Tùy chọn (Trống)", "✅ Xong")</f>
        <v/>
      </c>
    </row>
    <row r="33">
      <c r="A33" t="inlineStr">
        <is>
          <t>B12</t>
        </is>
      </c>
      <c r="B33" t="inlineStr">
        <is>
          <t>Nghiên cứu viên 9</t>
        </is>
      </c>
      <c r="F33">
        <f>IF(ISBLANK(C33), "⚪ Tùy chọn (Trống)", "✅ Xong")</f>
        <v/>
      </c>
    </row>
    <row r="34">
      <c r="A34" t="inlineStr">
        <is>
          <t>B13</t>
        </is>
      </c>
      <c r="B34" t="inlineStr">
        <is>
          <t>Nghiên cứu viên 10</t>
        </is>
      </c>
      <c r="F34">
        <f>IF(ISBLANK(C34), "⚪ Tùy chọn (Trống)", "✅ Xong")</f>
        <v/>
      </c>
    </row>
    <row r="35">
      <c r="A35" t="inlineStr">
        <is>
          <t>B14</t>
        </is>
      </c>
      <c r="B35" t="inlineStr">
        <is>
          <t>Nghiên cứu viên 11</t>
        </is>
      </c>
      <c r="F35">
        <f>IF(ISBLANK(C35), "⚪ Tùy chọn (Trống)", "✅ Xong")</f>
        <v/>
      </c>
    </row>
    <row r="36">
      <c r="A36" t="inlineStr">
        <is>
          <t>B15</t>
        </is>
      </c>
      <c r="B36" t="inlineStr">
        <is>
          <t>Nghiên cứu viên 12</t>
        </is>
      </c>
      <c r="F36">
        <f>IF(ISBLANK(C36), "⚪ Tùy chọn (Trống)", "✅ Xong")</f>
        <v/>
      </c>
    </row>
    <row r="37">
      <c r="A37" t="inlineStr">
        <is>
          <t>B16</t>
        </is>
      </c>
      <c r="B37" t="inlineStr">
        <is>
          <t>Nghiên cứu viên 13</t>
        </is>
      </c>
      <c r="F37">
        <f>IF(ISBLANK(C37), "⚪ Tùy chọn (Trống)", "✅ Xong")</f>
        <v/>
      </c>
    </row>
    <row r="38">
      <c r="A38" t="inlineStr">
        <is>
          <t>B17</t>
        </is>
      </c>
      <c r="B38" t="inlineStr">
        <is>
          <t>Nghiên cứu viên 14</t>
        </is>
      </c>
      <c r="F38">
        <f>IF(ISBLANK(C38), "⚪ Tùy chọn (Trống)", "✅ Xong")</f>
        <v/>
      </c>
    </row>
    <row r="39">
      <c r="A39" t="inlineStr">
        <is>
          <t>B18</t>
        </is>
      </c>
      <c r="B39" t="inlineStr">
        <is>
          <t>Nghiên cứu viên 15</t>
        </is>
      </c>
      <c r="F39">
        <f>IF(ISBLANK(C39), "⚪ Tùy chọn (Trống)", "✅ Xong")</f>
        <v/>
      </c>
    </row>
    <row r="40">
      <c r="A40" t="inlineStr">
        <is>
          <t>B19</t>
        </is>
      </c>
      <c r="B40" t="inlineStr">
        <is>
          <t>Nghiên cứu viên 16</t>
        </is>
      </c>
      <c r="F40">
        <f>IF(ISBLANK(C40), "⚪ Tùy chọn (Trống)", "✅ Xong")</f>
        <v/>
      </c>
    </row>
    <row r="41">
      <c r="A41" t="inlineStr">
        <is>
          <t>B20</t>
        </is>
      </c>
      <c r="B41" t="inlineStr">
        <is>
          <t>Nghiên cứu viên 17</t>
        </is>
      </c>
      <c r="F41">
        <f>IF(ISBLANK(C41), "⚪ Tùy chọn (Trống)", "✅ Xong")</f>
        <v/>
      </c>
    </row>
    <row r="42">
      <c r="A42" s="2" t="inlineStr">
        <is>
          <t>SEC_C</t>
        </is>
      </c>
      <c r="B42" s="2">
        <f>"PHẦN C: HỘI ĐỒNG ĐẠO ĐỨC TRONG NGHIÊN CỨU " &amp; IF(ISNUMBER(SEARCH("dao_duc", VLOOKUP($C$3, _BoHoSo!$A$2:$D$8, 4, FALSE))), "🟢 [BẮT BUỘC - ĐANG ÁP DỤNG]", "⚪ [KHÔNG ÁP DỤNG CHO BỘ NÀY]")</f>
        <v/>
      </c>
      <c r="C42" s="2" t="n"/>
      <c r="D42" s="2" t="n"/>
      <c r="E42" s="2" t="n"/>
      <c r="F42" s="2" t="n"/>
    </row>
    <row r="43" ht="15" customHeight="1">
      <c r="A43" t="inlineStr">
        <is>
          <t>{{CHU_TICH_HD_DAO_DUC}}</t>
        </is>
      </c>
      <c r="B43" t="inlineStr">
        <is>
          <t>Chủ tịch HĐ Đạo đức (Bắt buộc)</t>
        </is>
      </c>
      <c r="C43" s="3" t="inlineStr">
        <is>
          <t>Nguyễn Công Khẩn</t>
        </is>
      </c>
      <c r="D43" s="3" t="inlineStr">
        <is>
          <t>GS.TS.</t>
        </is>
      </c>
      <c r="E43" s="3" t="inlineStr">
        <is>
          <t>Hội đồng Đạo đức Y sinh Quốc gia</t>
        </is>
      </c>
      <c r="F43">
        <f>IF(ISNUMBER(SEARCH("dao_duc", VLOOKUP($C$3, _BoHoSo!$A$2:$D$8, 4, FALSE))), IF(ISBLANK(C43), "❌ CHƯA ĐIỀN (BÁO LỖI)", "✅ Xong"), "⚪ Không yêu cầu cho bộ này")</f>
        <v/>
      </c>
    </row>
    <row r="44">
      <c r="A44" t="inlineStr">
        <is>
          <t>C02</t>
        </is>
      </c>
      <c r="B44" t="inlineStr">
        <is>
          <t>Ủy viên Phản biện 1 (Bắt buộc)</t>
        </is>
      </c>
      <c r="C44" s="3" t="inlineStr">
        <is>
          <t>Nguyễn Xuân Ninh</t>
        </is>
      </c>
      <c r="D44" s="3" t="inlineStr">
        <is>
          <t>PGS.TS.BS.</t>
        </is>
      </c>
      <c r="E44" s="3" t="inlineStr">
        <is>
          <t>Viện Y học Ứng dụng Việt Nam</t>
        </is>
      </c>
      <c r="F44">
        <f>IF(ISNUMBER(SEARCH("dao_duc", VLOOKUP($C$3, _BoHoSo!$A$2:$D$8, 4, FALSE))), IF(ISBLANK(C44), "❌ CHƯA ĐIỀN (BÁO LỖI)", "✅ Xong"), "⚪ Không yêu cầu cho bộ này")</f>
        <v/>
      </c>
    </row>
    <row r="45">
      <c r="A45" t="inlineStr">
        <is>
          <t>C03</t>
        </is>
      </c>
      <c r="B45" t="inlineStr">
        <is>
          <t>Ủy viên Phản biện 2 (Bắt buộc)</t>
        </is>
      </c>
      <c r="C45" s="3" t="inlineStr">
        <is>
          <t>Lê Bạch Mai</t>
        </is>
      </c>
      <c r="D45" s="3" t="inlineStr">
        <is>
          <t>PGS.TS.BS.</t>
        </is>
      </c>
      <c r="E45" s="3" t="inlineStr">
        <is>
          <t>Nguyên Phó Viện trưởng Viện Dinh dưỡng QG</t>
        </is>
      </c>
      <c r="F45">
        <f>IF(ISNUMBER(SEARCH("dao_duc", VLOOKUP($C$3, _BoHoSo!$A$2:$D$8, 4, FALSE))), IF(ISBLANK(C45), "❌ CHƯA ĐIỀN (BÁO LỖI)", "✅ Xong"), "⚪ Không yêu cầu cho bộ này")</f>
        <v/>
      </c>
    </row>
    <row r="46">
      <c r="A46" t="inlineStr">
        <is>
          <t>C04</t>
        </is>
      </c>
      <c r="B46" t="inlineStr">
        <is>
          <t>Ủy viên HĐ Đạo đức 1 (Bắt buộc)</t>
        </is>
      </c>
      <c r="C46" s="3" t="inlineStr">
        <is>
          <t>Nguyễn Thị Lâm</t>
        </is>
      </c>
      <c r="D46" s="3" t="inlineStr">
        <is>
          <t>PGS.TS.BS.</t>
        </is>
      </c>
      <c r="E46" s="3" t="inlineStr">
        <is>
          <t>Nguyên Phó Viện trưởng Viện Dinh dưỡng QG</t>
        </is>
      </c>
      <c r="F46">
        <f>IF(ISNUMBER(SEARCH("dao_duc", VLOOKUP($C$3, _BoHoSo!$A$2:$D$8, 4, FALSE))), IF(ISBLANK(C46), "❌ CHƯA ĐIỀN (BÁO LỖI)", "✅ Xong"), "⚪ Không yêu cầu cho bộ này")</f>
        <v/>
      </c>
    </row>
    <row r="47">
      <c r="A47" t="inlineStr">
        <is>
          <t>C05</t>
        </is>
      </c>
      <c r="B47" t="inlineStr">
        <is>
          <t>Ủy viên HĐ Đạo đức 2 (Bắt buộc)</t>
        </is>
      </c>
      <c r="C47" s="3" t="inlineStr">
        <is>
          <t>Nguyễn Quang Dũng</t>
        </is>
      </c>
      <c r="D47" s="3" t="inlineStr">
        <is>
          <t>PGS.TS.BS.</t>
        </is>
      </c>
      <c r="E47" s="3" t="inlineStr">
        <is>
          <t>Bộ môn Dinh dưỡng - ĐH Y Hà Nội</t>
        </is>
      </c>
      <c r="F47">
        <f>IF(ISNUMBER(SEARCH("dao_duc", VLOOKUP($C$3, _BoHoSo!$A$2:$D$8, 4, FALSE))), IF(ISBLANK(C47), "❌ CHƯA ĐIỀN (BÁO LỖI)", "✅ Xong"), "⚪ Không yêu cầu cho bộ này")</f>
        <v/>
      </c>
    </row>
    <row r="48">
      <c r="A48" t="inlineStr">
        <is>
          <t>C06</t>
        </is>
      </c>
      <c r="B48" t="inlineStr">
        <is>
          <t>Ủy viên Phản biện 3 (Tùy chọn)</t>
        </is>
      </c>
      <c r="F48">
        <f>IF(ISBLANK(C48), "⚪ Tùy chọn (Trống)", "✅ Xong")</f>
        <v/>
      </c>
    </row>
    <row r="49">
      <c r="A49" t="inlineStr">
        <is>
          <t>C07</t>
        </is>
      </c>
      <c r="B49" t="inlineStr">
        <is>
          <t>Ủy viên HĐ Đạo đức 3 (Tùy chọn)</t>
        </is>
      </c>
      <c r="F49">
        <f>IF(ISBLANK(C49), "⚪ Tùy chọn (Trống)", "✅ Xong")</f>
        <v/>
      </c>
    </row>
    <row r="50">
      <c r="A50" t="inlineStr">
        <is>
          <t>C08</t>
        </is>
      </c>
      <c r="B50" t="inlineStr">
        <is>
          <t>Ủy viên HĐ Đạo đức 4 (Tùy chọn)</t>
        </is>
      </c>
      <c r="F50">
        <f>IF(ISBLANK(C50), "⚪ Tùy chọn (Trống)", "✅ Xong")</f>
        <v/>
      </c>
    </row>
    <row r="51">
      <c r="A51" t="inlineStr">
        <is>
          <t>C09</t>
        </is>
      </c>
      <c r="B51" t="inlineStr">
        <is>
          <t>Thư ký HĐ Đạo đức 1 (Bắt buộc)</t>
        </is>
      </c>
      <c r="C51" s="3" t="inlineStr">
        <is>
          <t>Hoàng Hà Linh</t>
        </is>
      </c>
      <c r="D51" s="3" t="inlineStr">
        <is>
          <t>Thạc sĩ</t>
        </is>
      </c>
      <c r="E51" s="3" t="inlineStr">
        <is>
          <t>Trung tâm NCKH - Viện VIAM</t>
        </is>
      </c>
      <c r="F51">
        <f>IF(ISNUMBER(SEARCH("dao_duc", VLOOKUP($C$3, _BoHoSo!$A$2:$D$8, 4, FALSE))), IF(ISBLANK(C51), "❌ CHƯA ĐIỀN (BÁO LỖI)", "✅ Xong"), "⚪ Không yêu cầu cho bộ này")</f>
        <v/>
      </c>
    </row>
    <row r="52">
      <c r="A52" t="inlineStr">
        <is>
          <t>C10</t>
        </is>
      </c>
      <c r="B52" t="inlineStr">
        <is>
          <t>Thư ký HĐ Đạo đức 2 (Bắt buộc)</t>
        </is>
      </c>
      <c r="C52" s="3" t="inlineStr">
        <is>
          <t>Trương Phan Hồng Hà</t>
        </is>
      </c>
      <c r="D52" s="3" t="inlineStr">
        <is>
          <t>Thạc sĩ</t>
        </is>
      </c>
      <c r="E52" s="3" t="inlineStr">
        <is>
          <t>Viện Y học Ứng dụng Việt Nam</t>
        </is>
      </c>
      <c r="F52">
        <f>IF(ISNUMBER(SEARCH("dao_duc", VLOOKUP($C$3, _BoHoSo!$A$2:$D$8, 4, FALSE))), IF(ISBLANK(C52), "❌ CHƯA ĐIỀN (BÁO LỖI)", "✅ Xong"), "⚪ Không yêu cầu cho bộ này")</f>
        <v/>
      </c>
    </row>
    <row r="53">
      <c r="A53" s="8" t="inlineStr">
        <is>
          <t>{{SO_QD_TLHD_DAO_DUC}}</t>
        </is>
      </c>
      <c r="B53" s="8" t="inlineStr">
        <is>
          <t>Số QĐ TLHĐ Đạo đức - Mẫu 01 (Tùy chọn)</t>
        </is>
      </c>
      <c r="C53" s="8" t="n"/>
      <c r="F53">
        <f>IF(ISBLANK(C53), "⚪ Tùy chọn (Trống)", "✅ Xong")</f>
        <v/>
      </c>
    </row>
    <row r="54" ht="15" customHeight="1">
      <c r="A54" s="8" t="inlineStr">
        <is>
          <t>{{NGAY_QD_TLHD_DAO_DUC}}</t>
        </is>
      </c>
      <c r="B54" s="8" t="inlineStr">
        <is>
          <t>Ngày ký QĐ TLHĐ Đạo đức (Tùy chọn)</t>
        </is>
      </c>
      <c r="C54" s="8" t="n"/>
      <c r="F54">
        <f>IF(ISBLANK(C54), "⚪ Tùy chọn (Trống)", "✅ Xong")</f>
        <v/>
      </c>
    </row>
    <row r="55">
      <c r="A55" s="8" t="inlineStr">
        <is>
          <t>{{NGAY_HOP_DAO_DUC}}</t>
        </is>
      </c>
      <c r="B55" s="8" t="inlineStr">
        <is>
          <t>Ngày họp HĐ Đạo đức - Mẫu 02, 03 (Tùy chọn)</t>
        </is>
      </c>
      <c r="C55" s="8" t="n"/>
      <c r="F55">
        <f>IF(ISBLANK(C55), "⚪ Tùy chọn (Trống)", "✅ Xong")</f>
        <v/>
      </c>
    </row>
    <row r="56">
      <c r="A56" s="2" t="inlineStr">
        <is>
          <t>SEC_D</t>
        </is>
      </c>
      <c r="B56" s="2">
        <f>"PHẦN D: HỘI ĐỒNG KHOA HỌC XÉT DUYỆT ĐỀ CƯƠNG " &amp; IF(ISNUMBER(SEARCH("khoa_hoc", VLOOKUP($C$3, _BoHoSo!$A$2:$D$8, 4, FALSE))), "🟢 [BẮT BUỘC - ĐANG ÁP DỤNG]", "⚪ [KHÔNG ÁP DỤNG CHO BỘ NÀY]")</f>
        <v/>
      </c>
      <c r="C56" s="2" t="n"/>
      <c r="D56" s="2" t="n"/>
      <c r="E56" s="2" t="n"/>
      <c r="F56" s="2" t="n"/>
    </row>
    <row r="57">
      <c r="A57" t="inlineStr">
        <is>
          <t>{{CHU_TICH_HD_KHOA_HOC}}</t>
        </is>
      </c>
      <c r="B57" t="inlineStr">
        <is>
          <t>Chủ tịch HĐ Đề cương (Bắt buộc)</t>
        </is>
      </c>
      <c r="C57" s="3" t="inlineStr">
        <is>
          <t>Nguyễn Công Khẩn</t>
        </is>
      </c>
      <c r="D57" s="3" t="inlineStr">
        <is>
          <t>GS.TS.</t>
        </is>
      </c>
      <c r="E57" s="3" t="inlineStr">
        <is>
          <t>Hội đồng Đạo đức Y sinh Quốc gia</t>
        </is>
      </c>
      <c r="F57">
        <f>IF(ISNUMBER(SEARCH("khoa_hoc", VLOOKUP($C$3, _BoHoSo!$A$2:$D$8, 4, FALSE))), IF(ISBLANK(C57), "❌ CHƯA ĐIỀN (BÁO LỖI)", "✅ Xong"), "⚪ Không yêu cầu cho bộ này")</f>
        <v/>
      </c>
    </row>
    <row r="58">
      <c r="A58" t="inlineStr">
        <is>
          <t>D02</t>
        </is>
      </c>
      <c r="B58" t="inlineStr">
        <is>
          <t>Ủy viên Phản biện 1 (Bắt buộc)</t>
        </is>
      </c>
      <c r="C58" s="3" t="inlineStr">
        <is>
          <t>Nguyễn Xuân Ninh</t>
        </is>
      </c>
      <c r="D58" s="3" t="inlineStr">
        <is>
          <t>PGS.TS.BS.</t>
        </is>
      </c>
      <c r="E58" s="3" t="inlineStr">
        <is>
          <t>Viện Y học Ứng dụng Việt Nam</t>
        </is>
      </c>
      <c r="F58">
        <f>IF(ISNUMBER(SEARCH("khoa_hoc", VLOOKUP($C$3, _BoHoSo!$A$2:$D$8, 4, FALSE))), IF(ISBLANK(C58), "❌ CHƯA ĐIỀN (BÁO LỖI)", "✅ Xong"), "⚪ Không yêu cầu cho bộ này")</f>
        <v/>
      </c>
    </row>
    <row r="59">
      <c r="A59" t="inlineStr">
        <is>
          <t>D03</t>
        </is>
      </c>
      <c r="B59" t="inlineStr">
        <is>
          <t>Ủy viên Phản biện 2 (Bắt buộc)</t>
        </is>
      </c>
      <c r="C59" s="3" t="inlineStr">
        <is>
          <t>Trần Quang Trung</t>
        </is>
      </c>
      <c r="D59" s="3" t="inlineStr">
        <is>
          <t>PGS.TS.</t>
        </is>
      </c>
      <c r="E59" s="3" t="inlineStr">
        <is>
          <t>Hiệp hội Sữa Việt Nam</t>
        </is>
      </c>
      <c r="F59">
        <f>IF(ISNUMBER(SEARCH("khoa_hoc", VLOOKUP($C$3, _BoHoSo!$A$2:$D$8, 4, FALSE))), IF(ISBLANK(C59), "❌ CHƯA ĐIỀN (BÁO LỖI)", "✅ Xong"), "⚪ Không yêu cầu cho bộ này")</f>
        <v/>
      </c>
    </row>
    <row r="60">
      <c r="A60" t="inlineStr">
        <is>
          <t>D04</t>
        </is>
      </c>
      <c r="B60" t="inlineStr">
        <is>
          <t>Ủy viên HĐ Đề cương 1 (Bắt buộc)</t>
        </is>
      </c>
      <c r="C60" s="3" t="inlineStr">
        <is>
          <t>Lê Bạch Mai</t>
        </is>
      </c>
      <c r="D60" s="3" t="inlineStr">
        <is>
          <t>PGS.TS.BS.</t>
        </is>
      </c>
      <c r="E60" s="3" t="inlineStr">
        <is>
          <t>Nguyên Phó Viện trưởng Viện Dinh dưỡng QG</t>
        </is>
      </c>
      <c r="F60">
        <f>IF(ISNUMBER(SEARCH("khoa_hoc", VLOOKUP($C$3, _BoHoSo!$A$2:$D$8, 4, FALSE))), IF(ISBLANK(C60), "❌ CHƯA ĐIỀN (BÁO LỖI)", "✅ Xong"), "⚪ Không yêu cầu cho bộ này")</f>
        <v/>
      </c>
    </row>
    <row r="61">
      <c r="A61" t="inlineStr">
        <is>
          <t>D05</t>
        </is>
      </c>
      <c r="B61" t="inlineStr">
        <is>
          <t>Ủy viên HĐ Đề cương 2 (Bắt buộc)</t>
        </is>
      </c>
      <c r="C61" s="3" t="inlineStr">
        <is>
          <t>Nguyễn Thị Lâm</t>
        </is>
      </c>
      <c r="D61" s="3" t="inlineStr">
        <is>
          <t>PGS.TS.BS.</t>
        </is>
      </c>
      <c r="E61" s="3" t="inlineStr">
        <is>
          <t>Nguyên Phó Viện trưởng Viện Dinh dưỡng QG</t>
        </is>
      </c>
      <c r="F61">
        <f>IF(ISNUMBER(SEARCH("khoa_hoc", VLOOKUP($C$3, _BoHoSo!$A$2:$D$8, 4, FALSE))), IF(ISBLANK(C61), "❌ CHƯA ĐIỀN (BÁO LỖI)", "✅ Xong"), "⚪ Không yêu cầu cho bộ này")</f>
        <v/>
      </c>
    </row>
    <row r="62">
      <c r="A62" t="inlineStr">
        <is>
          <t>D06</t>
        </is>
      </c>
      <c r="B62" t="inlineStr">
        <is>
          <t>Ủy viên Phản biện 3 (Tùy chọn)</t>
        </is>
      </c>
      <c r="F62">
        <f>IF(ISBLANK(C62), "⚪ Tùy chọn (Trống)", "✅ Xong")</f>
        <v/>
      </c>
    </row>
    <row r="63">
      <c r="A63" t="inlineStr">
        <is>
          <t>D07</t>
        </is>
      </c>
      <c r="B63" t="inlineStr">
        <is>
          <t>Ủy viên HĐ Đề cương 3 (Tùy chọn)</t>
        </is>
      </c>
      <c r="F63">
        <f>IF(ISBLANK(C63), "⚪ Tùy chọn (Trống)", "✅ Xong")</f>
        <v/>
      </c>
    </row>
    <row r="64">
      <c r="A64" t="inlineStr">
        <is>
          <t>D08</t>
        </is>
      </c>
      <c r="B64" t="inlineStr">
        <is>
          <t>Ủy viên HĐ Đề cương 4 (Tùy chọn)</t>
        </is>
      </c>
      <c r="F64">
        <f>IF(ISBLANK(C64), "⚪ Tùy chọn (Trống)", "✅ Xong")</f>
        <v/>
      </c>
    </row>
    <row r="65" ht="15" customHeight="1">
      <c r="A65" t="inlineStr">
        <is>
          <t>D09</t>
        </is>
      </c>
      <c r="B65" t="inlineStr">
        <is>
          <t>Thư ký HĐ Đề cương 1 (Bắt buộc)</t>
        </is>
      </c>
      <c r="C65" s="3" t="inlineStr">
        <is>
          <t>Hoàng Hà Linh</t>
        </is>
      </c>
      <c r="D65" s="3" t="inlineStr">
        <is>
          <t>Thạc sĩ</t>
        </is>
      </c>
      <c r="E65" s="3" t="inlineStr">
        <is>
          <t>Trung tâm NCKH - Viện VIAM</t>
        </is>
      </c>
      <c r="F65">
        <f>IF(ISNUMBER(SEARCH("khoa_hoc", VLOOKUP($C$3, _BoHoSo!$A$2:$D$8, 4, FALSE))), IF(ISBLANK(C65), "❌ CHƯA ĐIỀN (BÁO LỖI)", "✅ Xong"), "⚪ Không yêu cầu cho bộ này")</f>
        <v/>
      </c>
    </row>
    <row r="66">
      <c r="A66" t="inlineStr">
        <is>
          <t>D10</t>
        </is>
      </c>
      <c r="B66" t="inlineStr">
        <is>
          <t>Thư ký HĐ Đề cương 2 (Bắt buộc)</t>
        </is>
      </c>
      <c r="C66" s="3" t="inlineStr">
        <is>
          <t>Trương Phan Hồng Hà</t>
        </is>
      </c>
      <c r="D66" s="3" t="inlineStr">
        <is>
          <t>Thạc sĩ</t>
        </is>
      </c>
      <c r="E66" s="3" t="inlineStr">
        <is>
          <t>Viện Y học Ứng dụng Việt Nam</t>
        </is>
      </c>
      <c r="F66">
        <f>IF(ISNUMBER(SEARCH("khoa_hoc", VLOOKUP($C$3, _BoHoSo!$A$2:$D$8, 4, FALSE))), IF(ISBLANK(C66), "❌ CHƯA ĐIỀN (BÁO LỖI)", "✅ Xong"), "⚪ Không yêu cầu cho bộ này")</f>
        <v/>
      </c>
    </row>
    <row r="67">
      <c r="A67" s="8" t="inlineStr">
        <is>
          <t>{{SO_QD_TLHD_KHOA_HOC}}</t>
        </is>
      </c>
      <c r="B67" s="8" t="inlineStr">
        <is>
          <t>Số QĐ TLHĐ Khoa học - Mẫu 05 (Tùy chọn)</t>
        </is>
      </c>
      <c r="C67" s="8" t="n"/>
      <c r="F67">
        <f>IF(ISBLANK(C67), "⚪ Tùy chọn (Trống)", "✅ Xong")</f>
        <v/>
      </c>
    </row>
    <row r="68">
      <c r="A68" s="8" t="inlineStr">
        <is>
          <t>{{NGAY_QD_TLHD_KHOA_HOC}}</t>
        </is>
      </c>
      <c r="B68" s="8" t="inlineStr">
        <is>
          <t>Ngày ký QĐ TLHĐ Khoa học (Tùy chọn)</t>
        </is>
      </c>
      <c r="C68" s="8" t="n"/>
      <c r="F68">
        <f>IF(ISBLANK(C68), "⚪ Tùy chọn (Trống)", "✅ Xong")</f>
        <v/>
      </c>
    </row>
    <row r="69">
      <c r="A69" s="8" t="inlineStr">
        <is>
          <t>{{SO_QD_PHE_DUYET}}</t>
        </is>
      </c>
      <c r="B69" s="8" t="inlineStr">
        <is>
          <t>Số QĐ Phê duyệt đề tài - Mẫu 08 (Tùy chọn)</t>
        </is>
      </c>
      <c r="C69" s="8" t="n"/>
      <c r="F69">
        <f>IF(ISBLANK(C69), "⚪ Tùy chọn (Trống)", "✅ Xong")</f>
        <v/>
      </c>
    </row>
    <row r="70">
      <c r="A70" s="8" t="inlineStr">
        <is>
          <t>{{NGAY_QD_PHE_DUYET}}</t>
        </is>
      </c>
      <c r="B70" s="8" t="inlineStr">
        <is>
          <t>Ngày ký QĐ Phê duyệt đề tài (Tùy chọn)</t>
        </is>
      </c>
      <c r="C70" s="8" t="n"/>
      <c r="F70">
        <f>IF(ISBLANK(C70), "⚪ Tùy chọn (Trống)", "✅ Xong")</f>
        <v/>
      </c>
    </row>
    <row r="71">
      <c r="A71" s="8" t="inlineStr">
        <is>
          <t>{{NGAY_HOP_KHOA_HOC}}</t>
        </is>
      </c>
      <c r="B71" s="8" t="inlineStr">
        <is>
          <t>Ngày họp HĐ Khoa học - Mẫu 06, 07 (Tùy chọn)</t>
        </is>
      </c>
      <c r="C71" s="8" t="n"/>
      <c r="F71">
        <f>IF(ISBLANK(C71), "⚪ Tùy chọn (Trống)", "✅ Xong")</f>
        <v/>
      </c>
    </row>
    <row r="72">
      <c r="A72" s="2" t="inlineStr">
        <is>
          <t>SEC_E</t>
        </is>
      </c>
      <c r="B72" s="2">
        <f>"PHẦN E: HỘI ĐỒNG ĐÁNH GIÁ NGHIỆM THU " &amp; IF(ISNUMBER(SEARCH("nghiem_thu", VLOOKUP($C$3, _BoHoSo!$A$2:$D$8, 4, FALSE))), "🟢 [BẮT BUỘC - ĐANG ÁP DỤNG]", "⚪ [KHÔNG ÁP DỤNG CHO BỘ NÀY]")</f>
        <v/>
      </c>
      <c r="C72" s="2" t="n"/>
      <c r="D72" s="2" t="n"/>
      <c r="E72" s="2" t="n"/>
      <c r="F72" s="2" t="n"/>
    </row>
    <row r="73">
      <c r="A73" t="inlineStr">
        <is>
          <t>{{CHU_TICH_HD_NGHIEM_THU}}</t>
        </is>
      </c>
      <c r="B73" t="inlineStr">
        <is>
          <t>Chủ tịch HĐ Nghiệm thu (Bắt buộc)</t>
        </is>
      </c>
      <c r="C73" s="3" t="inlineStr">
        <is>
          <t>Phạm Văn Hoàn</t>
        </is>
      </c>
      <c r="D73" s="3" t="inlineStr">
        <is>
          <t>PGS.TS.</t>
        </is>
      </c>
      <c r="E73" s="3" t="inlineStr">
        <is>
          <t>Viện Y học Ứng dụng Việt Nam</t>
        </is>
      </c>
      <c r="F73">
        <f>IF(ISNUMBER(SEARCH("nghiem_thu", VLOOKUP($C$3, _BoHoSo!$A$2:$D$8, 4, FALSE))), IF(ISBLANK(C73), "❌ CHƯA ĐIỀN (BÁO LỖI)", "✅ Xong"), "⚪ Không yêu cầu cho bộ này")</f>
        <v/>
      </c>
    </row>
    <row r="74">
      <c r="A74" t="inlineStr">
        <is>
          <t>E02</t>
        </is>
      </c>
      <c r="B74" t="inlineStr">
        <is>
          <t>Ủy viên Phản biện 1 (Bắt buộc)</t>
        </is>
      </c>
      <c r="C74" s="3" t="inlineStr">
        <is>
          <t>Nguyễn Công Khẩn</t>
        </is>
      </c>
      <c r="D74" s="3" t="inlineStr">
        <is>
          <t>GS.TS.</t>
        </is>
      </c>
      <c r="E74" s="3" t="inlineStr">
        <is>
          <t>Hội đồng Đạo đức Y sinh Quốc gia</t>
        </is>
      </c>
      <c r="F74">
        <f>IF(ISNUMBER(SEARCH("nghiem_thu", VLOOKUP($C$3, _BoHoSo!$A$2:$D$8, 4, FALSE))), IF(ISBLANK(C74), "❌ CHƯA ĐIỀN (BÁO LỖI)", "✅ Xong"), "⚪ Không yêu cầu cho bộ này")</f>
        <v/>
      </c>
    </row>
    <row r="75">
      <c r="A75" t="inlineStr">
        <is>
          <t>E03</t>
        </is>
      </c>
      <c r="B75" t="inlineStr">
        <is>
          <t>Ủy viên Phản biện 2 (Bắt buộc)</t>
        </is>
      </c>
      <c r="C75" s="3" t="inlineStr">
        <is>
          <t>Nguyễn Thị Lâm</t>
        </is>
      </c>
      <c r="D75" s="3" t="inlineStr">
        <is>
          <t>PGS.TS.BS.</t>
        </is>
      </c>
      <c r="E75" s="3" t="inlineStr">
        <is>
          <t>Nguyên Phó Viện trưởng Viện Dinh dưỡng QG</t>
        </is>
      </c>
      <c r="F75">
        <f>IF(ISNUMBER(SEARCH("nghiem_thu", VLOOKUP($C$3, _BoHoSo!$A$2:$D$8, 4, FALSE))), IF(ISBLANK(C75), "❌ CHƯA ĐIỀN (BÁO LỖI)", "✅ Xong"), "⚪ Không yêu cầu cho bộ này")</f>
        <v/>
      </c>
    </row>
    <row r="76">
      <c r="A76" t="inlineStr">
        <is>
          <t>E04</t>
        </is>
      </c>
      <c r="B76" t="inlineStr">
        <is>
          <t>Ủy viên HĐ Nghiệm thu 1 (Bắt buộc)</t>
        </is>
      </c>
      <c r="C76" s="3" t="inlineStr">
        <is>
          <t>Ninh Thị Nhung</t>
        </is>
      </c>
      <c r="D76" s="3" t="inlineStr">
        <is>
          <t>PGS.TS.</t>
        </is>
      </c>
      <c r="E76" s="3" t="inlineStr">
        <is>
          <t>Trường Đại học Y Dược Thái Bình</t>
        </is>
      </c>
      <c r="F76">
        <f>IF(ISNUMBER(SEARCH("nghiem_thu", VLOOKUP($C$3, _BoHoSo!$A$2:$D$8, 4, FALSE))), IF(ISBLANK(C76), "❌ CHƯA ĐIỀN (BÁO LỖI)", "✅ Xong"), "⚪ Không yêu cầu cho bộ này")</f>
        <v/>
      </c>
    </row>
    <row r="77">
      <c r="A77" t="inlineStr">
        <is>
          <t>E05</t>
        </is>
      </c>
      <c r="B77" t="inlineStr">
        <is>
          <t>Ủy viên HĐ Nghiệm thu 2 (Bắt buộc)</t>
        </is>
      </c>
      <c r="C77" s="3" t="inlineStr">
        <is>
          <t>Trần Văn Ơn</t>
        </is>
      </c>
      <c r="D77" s="3" t="inlineStr">
        <is>
          <t>PGS.TS.</t>
        </is>
      </c>
      <c r="E77" s="3" t="inlineStr">
        <is>
          <t>Trường Đại học Dược Hà Nội</t>
        </is>
      </c>
      <c r="F77">
        <f>IF(ISNUMBER(SEARCH("nghiem_thu", VLOOKUP($C$3, _BoHoSo!$A$2:$D$8, 4, FALSE))), IF(ISBLANK(C77), "❌ CHƯA ĐIỀN (BÁO LỖI)", "✅ Xong"), "⚪ Không yêu cầu cho bộ này")</f>
        <v/>
      </c>
    </row>
    <row r="78">
      <c r="A78" t="inlineStr">
        <is>
          <t>E06</t>
        </is>
      </c>
      <c r="B78" t="inlineStr">
        <is>
          <t>Ủy viên Phản biện 3 (Tùy chọn)</t>
        </is>
      </c>
      <c r="F78">
        <f>IF(ISBLANK(C78), "⚪ Tùy chọn (Trống)", "✅ Xong")</f>
        <v/>
      </c>
    </row>
    <row r="79">
      <c r="A79" t="inlineStr">
        <is>
          <t>E07</t>
        </is>
      </c>
      <c r="B79" t="inlineStr">
        <is>
          <t>Ủy viên HĐ Nghiệm thu 3 (Tùy chọn)</t>
        </is>
      </c>
      <c r="F79">
        <f>IF(ISBLANK(C79), "⚪ Tùy chọn (Trống)", "✅ Xong")</f>
        <v/>
      </c>
    </row>
    <row r="80">
      <c r="A80" t="inlineStr">
        <is>
          <t>E08</t>
        </is>
      </c>
      <c r="B80" t="inlineStr">
        <is>
          <t>Ủy viên HĐ Nghiệm thu 4 (Tùy chọn)</t>
        </is>
      </c>
      <c r="F80">
        <f>IF(ISBLANK(C80), "⚪ Tùy chọn (Trống)", "✅ Xong")</f>
        <v/>
      </c>
    </row>
    <row r="81">
      <c r="A81" t="inlineStr">
        <is>
          <t>E09</t>
        </is>
      </c>
      <c r="B81" t="inlineStr">
        <is>
          <t>Thư ký HĐ Nghiệm thu 1 (Bắt buộc)</t>
        </is>
      </c>
      <c r="C81" s="3" t="inlineStr">
        <is>
          <t>Hoàng Hà Linh</t>
        </is>
      </c>
      <c r="D81" s="3" t="inlineStr">
        <is>
          <t>PGS.TS.BS.</t>
        </is>
      </c>
      <c r="E81" s="3" t="inlineStr">
        <is>
          <t>Viện Y học Ứng dụng Việt Nam</t>
        </is>
      </c>
      <c r="F81">
        <f>IF(ISNUMBER(SEARCH("nghiem_thu", VLOOKUP($C$3, _BoHoSo!$A$2:$D$8, 4, FALSE))), IF(ISBLANK(C81), "❌ CHƯA ĐIỀN (BÁO LỖI)", "✅ Xong"), "⚪ Không yêu cầu cho bộ này")</f>
        <v/>
      </c>
    </row>
    <row r="82">
      <c r="A82" t="inlineStr">
        <is>
          <t>E10</t>
        </is>
      </c>
      <c r="B82" t="inlineStr">
        <is>
          <t>Thư ký HĐ Nghiệm thu 2 (Bắt buộc)</t>
        </is>
      </c>
      <c r="C82" s="3" t="inlineStr">
        <is>
          <t>Trương Phan Hồng Hà</t>
        </is>
      </c>
      <c r="D82" s="3" t="inlineStr">
        <is>
          <t>Thạc sĩ</t>
        </is>
      </c>
      <c r="E82" s="3" t="inlineStr">
        <is>
          <t>Viện Y học Ứng dụng Việt Nam</t>
        </is>
      </c>
      <c r="F82">
        <f>IF(ISNUMBER(SEARCH("nghiem_thu", VLOOKUP($C$3, _BoHoSo!$A$2:$D$8, 4, FALSE))), IF(ISBLANK(C82), "❌ CHƯA ĐIỀN (BÁO LỖI)", "✅ Xong"), "⚪ Không yêu cầu cho bộ này")</f>
        <v/>
      </c>
    </row>
    <row r="83">
      <c r="A83" s="8" t="inlineStr">
        <is>
          <t>{{SO_QD_TLHD_NGHIEM_THU}}</t>
        </is>
      </c>
      <c r="B83" s="8" t="inlineStr">
        <is>
          <t>Số QĐ TLHĐ Nghiệm thu - Mẫu 9 (Tùy chọn)</t>
        </is>
      </c>
      <c r="C83" s="8" t="n"/>
      <c r="F83">
        <f>IF(ISBLANK(C83), "⚪ Tùy chọn (Trống)", "✅ Xong")</f>
        <v/>
      </c>
    </row>
    <row r="84">
      <c r="A84" s="8" t="inlineStr">
        <is>
          <t>{{NGAY_QD_TLHD_NGHIEM_THU}}</t>
        </is>
      </c>
      <c r="B84" s="8" t="inlineStr">
        <is>
          <t>Ngày ký QĐ TLHĐ Nghiệm thu (Tùy chọn)</t>
        </is>
      </c>
      <c r="C84" s="8" t="n"/>
      <c r="F84">
        <f>IF(ISBLANK(C84), "⚪ Tùy chọn (Trống)", "✅ Xong")</f>
        <v/>
      </c>
    </row>
    <row r="85">
      <c r="A85" s="8" t="inlineStr">
        <is>
          <t>{{SO_QD_CONG_NHAN}}</t>
        </is>
      </c>
      <c r="B85" s="8" t="inlineStr">
        <is>
          <t>Số QĐ Công nhận kết quả - Mẫu 12 (Tùy chọn)</t>
        </is>
      </c>
      <c r="C85" s="8" t="n"/>
      <c r="F85">
        <f>IF(ISBLANK(C85), "⚪ Tùy chọn (Trống)", "✅ Xong")</f>
        <v/>
      </c>
    </row>
    <row r="86">
      <c r="A86" s="8" t="inlineStr">
        <is>
          <t>{{NGAY_QD_CONG_NHAN}}</t>
        </is>
      </c>
      <c r="B86" s="8" t="inlineStr">
        <is>
          <t>Ngày ký QĐ Công nhận kết quả (Tùy chọn)</t>
        </is>
      </c>
      <c r="C86" s="8" t="n"/>
      <c r="F86">
        <f>IF(ISBLANK(C86), "⚪ Tùy chọn (Trống)", "✅ Xong")</f>
        <v/>
      </c>
    </row>
    <row r="87">
      <c r="A87" s="8" t="inlineStr">
        <is>
          <t>{{NGAY_HOP_NGHIEM_THU}}</t>
        </is>
      </c>
      <c r="B87" s="8" t="inlineStr">
        <is>
          <t>Ngày họp HĐ Nghiệm thu - Mẫu 10, 11 (Tùy chọn)</t>
        </is>
      </c>
      <c r="C87" s="8" t="n"/>
      <c r="F87">
        <f>IF(ISBLANK(C87), "⚪ Tùy chọn (Trống)", "✅ Xong")</f>
        <v/>
      </c>
    </row>
    <row r="88">
      <c r="A88" s="2" t="inlineStr">
        <is>
          <t>SEC_F</t>
        </is>
      </c>
      <c r="B88" s="2">
        <f>"PHẦN F: LÝ LỊCH KHOA HỌC CHUYÊN GIA (CV) " &amp; IF(ISNUMBER(SEARCH("dao_duc", VLOOKUP($C$3, _BoHoSo!$A$2:$D$8, 4, FALSE))), "🟢 [BẮT BUỘC CV CHỦ NHIỆM]", "⚪ [TÙY CHỌN]")</f>
        <v/>
      </c>
      <c r="C88" s="2" t="n"/>
      <c r="D88" s="2" t="n"/>
      <c r="E88" s="2" t="n"/>
      <c r="F88" s="2" t="n"/>
    </row>
    <row r="89">
      <c r="A89" t="inlineStr">
        <is>
          <t>F01</t>
        </is>
      </c>
      <c r="B89" t="inlineStr">
        <is>
          <t>Hồ sơ Chủ nhiệm đề tài (Bắt buộc - File mặc định cho HĐ Đạo đức)</t>
        </is>
      </c>
      <c r="C89" s="3" t="inlineStr">
        <is>
          <t>Trương Hồng Sơn</t>
        </is>
      </c>
      <c r="D89" s="3" t="inlineStr">
        <is>
          <t>Chủ nhiệm đề tài</t>
        </is>
      </c>
      <c r="E89" s="3" t="inlineStr">
        <is>
          <t>Lý lịch khoa học - Trương Hồng Sơn.docx</t>
        </is>
      </c>
      <c r="F89">
        <f>IF(ISBLANK(C89), "❌ CHƯA ĐIỀN (BÁO LỖI)", "✅ Xong")</f>
        <v/>
      </c>
    </row>
    <row r="90">
      <c r="A90" t="inlineStr">
        <is>
          <t>F02</t>
        </is>
      </c>
      <c r="B90" t="inlineStr">
        <is>
          <t>Hồ sơ Đồng Chủ nhiệm (Tùy chọn)</t>
        </is>
      </c>
      <c r="F90">
        <f>IF(ISBLANK(C90), "⚪ Tùy chọn (Trống)", "✅ Xong")</f>
        <v/>
      </c>
    </row>
    <row r="91">
      <c r="A91" t="inlineStr">
        <is>
          <t>F03</t>
        </is>
      </c>
      <c r="B91" t="inlineStr">
        <is>
          <t>Hồ sơ Thư ký Đề tài (Tùy chọn)</t>
        </is>
      </c>
      <c r="F91">
        <f>IF(ISBLANK(C91), "⚪ Tùy chọn (Trống)", "✅ Xong")</f>
        <v/>
      </c>
    </row>
    <row r="92">
      <c r="A92" t="inlineStr">
        <is>
          <t>F04</t>
        </is>
      </c>
      <c r="B92" t="inlineStr">
        <is>
          <t>Hồ sơ Chuyên gia / Thành viên 4 (Tùy chọn)</t>
        </is>
      </c>
      <c r="F92">
        <f>IF(ISBLANK(C92), "⚪ Tùy chọn (Trống)", "✅ Xong")</f>
        <v/>
      </c>
    </row>
    <row r="93">
      <c r="A93" t="inlineStr">
        <is>
          <t>F05</t>
        </is>
      </c>
      <c r="B93" t="inlineStr">
        <is>
          <t>Hồ sơ Chuyên gia / Thành viên 5 (Tùy chọn)</t>
        </is>
      </c>
      <c r="F93">
        <f>IF(ISBLANK(C93), "⚪ Tùy chọn (Trống)", "✅ Xong")</f>
        <v/>
      </c>
    </row>
    <row r="94">
      <c r="A94" t="inlineStr">
        <is>
          <t>F06</t>
        </is>
      </c>
      <c r="B94" t="inlineStr">
        <is>
          <t>Hồ sơ Chuyên gia / Thành viên 6 (Tùy chọn)</t>
        </is>
      </c>
      <c r="F94">
        <f>IF(ISBLANK(C94), "⚪ Tùy chọn (Trống)", "✅ Xong")</f>
        <v/>
      </c>
    </row>
    <row r="95">
      <c r="A95" t="inlineStr">
        <is>
          <t>F07</t>
        </is>
      </c>
      <c r="B95" t="inlineStr">
        <is>
          <t>Hồ sơ Chuyên gia / Thành viên 7 (Tùy chọn)</t>
        </is>
      </c>
      <c r="F95">
        <f>IF(ISBLANK(C95), "⚪ Tùy chọn (Trống)", "✅ Xong")</f>
        <v/>
      </c>
    </row>
    <row r="96">
      <c r="A96" t="inlineStr">
        <is>
          <t>F08</t>
        </is>
      </c>
      <c r="B96" t="inlineStr">
        <is>
          <t>Hồ sơ Chuyên gia / Thành viên 8 (Tùy chọn)</t>
        </is>
      </c>
      <c r="F96">
        <f>IF(ISBLANK(C96), "⚪ Tùy chọn (Trống)", "✅ Xong")</f>
        <v/>
      </c>
    </row>
    <row r="97">
      <c r="A97" t="inlineStr">
        <is>
          <t>F09</t>
        </is>
      </c>
      <c r="B97" t="inlineStr">
        <is>
          <t>Hồ sơ Chuyên gia / Thành viên 9 (Tùy chọn)</t>
        </is>
      </c>
      <c r="F97">
        <f>IF(ISBLANK(C97), "⚪ Tùy chọn (Trống)", "✅ Xong")</f>
        <v/>
      </c>
    </row>
  </sheetData>
  <mergeCells count="2">
    <mergeCell ref="A2:F2"/>
    <mergeCell ref="A1:F1"/>
  </mergeCells>
  <dataValidations count="7">
    <dataValidation sqref="C7" showDropDown="0" showInputMessage="0" showErrorMessage="0" allowBlank="1" type="list">
      <formula1>"Nghiên cứu can thiệp,Nghiên cứu quan sát,Thử nghiệm lâm sàng,Đánh giá hiệu quả công thức,Khác"</formula1>
    </dataValidation>
    <dataValidation sqref="C84 C86 C88 C90 C92 C94 C96 C97 C98 C99" showDropDown="0" showInputMessage="1" showErrorMessage="1" allowBlank="1" errorTitle="Sai định dạng ngày" error="Vui lòng nhập ngày hợp lệ (VD: 15/03/2027 hoặc chọn từ lịch)" promptTitle="Nhập ngày" prompt="Định dạng ngày: DD/MM/YYYY" type="date" operator="greaterThanOrEqual">
      <formula1>DATE(1900,1,1)</formula1>
    </dataValidation>
    <dataValidation sqref="C14" showDropDown="0" showInputMessage="0" showErrorMessage="0" allowBlank="1" type="list">
      <formula1>"full,dao_duc,khoa_hoc,nghiem_thu"</formula1>
    </dataValidation>
    <dataValidation sqref="C26 C27 C28 C29 C30 C31 C32 C33 C34 C35 C36 C37 C38 C39 C40 C41 C44 C45 C46 C47 C48 C49 C50 C51 C52 C58 C59 C60 C61 C62 C63 C64 C65 C66 C74 C75 C76 C77 C78 C79 C80 C81 C82" showDropDown="0" showInputMessage="0" showErrorMessage="0" allowBlank="1" type="list">
      <formula1>='_NhanSu'!$A$2:$A$16</formula1>
    </dataValidation>
    <dataValidation sqref="A6 A7 A8 A9 A10 A11 A12 A13 A14 A15 A16 A17 A18 A19 A20 A22 A23 A24 A25 A26 A27 A28 A29 A30 A31 A32 A33 A34 A35 A36 A37 A38 A39 A40 A41 A43 A44 A45 A46 A47 A48 A49 A50 A51 A52 A53 A54 A55 A57 A58 A59" showDropDown="0" showInputMessage="0" showErrorMessage="0" allowBlank="1" type="list">
      <formula1>='_Tokens'!$A$2:$A$49</formula1>
    </dataValidation>
    <dataValidation sqref="C3" showDropDown="0" showInputMessage="0" showErrorMessage="0" allowBlank="1" type="list">
      <formula1>='_BoHoSo'!$A$2:$A$8</formula1>
    </dataValidation>
    <dataValidation sqref="D26 D27 D28 D29 D30 D31 D32 D33 D34 D35 D36 D37 D38 D39 D40 D41 D44 D45 D46 D47 D48 D49 D50 D51 D52 D58 D59 D60 D61 D62 D63 D64 D65 D66 D74 D75 D76 D77 D78 D79 D80 D81 D82" showDropDown="0" showInputMessage="0" showErrorMessage="0" allowBlank="1" type="list">
      <formula1>"GS.TS.,PGS.TS.,TS.,ThS.,BS.CKII,BS.CKI,BS.,CN.,DS."</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F99"/>
  <sheetViews>
    <sheetView workbookViewId="0">
      <selection activeCell="A1" sqref="A1:F1"/>
    </sheetView>
  </sheetViews>
  <sheetFormatPr baseColWidth="8" defaultRowHeight="14.25"/>
  <cols>
    <col width="8.5" bestFit="1" customWidth="1" min="1" max="1"/>
    <col width="94.125" bestFit="1" customWidth="1" min="2" max="2"/>
    <col width="66.375" bestFit="1" customWidth="1" min="3" max="3"/>
    <col width="31.125" bestFit="1" customWidth="1" min="4" max="4"/>
    <col width="48.125" bestFit="1" customWidth="1" min="5" max="5"/>
    <col width="39.875" bestFit="1" customWidth="1" min="6" max="6"/>
  </cols>
  <sheetData>
    <row r="1" ht="19.5" customHeight="1">
      <c r="A1" s="4" t="inlineStr">
        <is>
          <t>BẢNG NHẬP THÔNG TIN VÀ CHECKLIST KIỂM TRA HỒ SƠ NGHIÊN CỨU KHOA HỌC</t>
        </is>
      </c>
    </row>
    <row r="2" ht="15.75" customHeight="1">
      <c r="A2" s="5">
        <f>IF(COUNTIF(F6:F150, "*BÁO LỖI*")&gt;0, "⚠️ BÁO LỖI: PHÁT HIỆN THIẾU THÔNG TIN BẮT BUỘC CỦA BỘ HỒ SƠ ĐÃ CHỌN - VUI LÒNG BỔ SUNG CÁC Ô MÀU ĐỎ DƯỚI ĐÂY", "🎉 HOÀN THÀNH 100%: TẤT CẢ THÔNG TIN BẮT BUỘC CHO BỘ HỒ SƠ ĐÃ CHỌN ĐÃ ĐẦY ĐỦ - SẴN SÀNG CHẠY RA BỘ HỒ SƠ")</f>
        <v/>
      </c>
    </row>
    <row r="3">
      <c r="A3" t="inlineStr">
        <is>
          <t>BO_HO_SO</t>
        </is>
      </c>
      <c r="B3" t="inlineStr">
        <is>
          <t>CHỌN BỘ HỒ SƠ (A: NCKH &amp; Đánh giá công thức / B: Thử nghiệm lâm sàng / C: Quan sát dịch tễ / D: Chuyển giao CN)</t>
        </is>
      </c>
      <c r="C3" t="inlineStr">
        <is>
          <t>A</t>
        </is>
      </c>
    </row>
    <row r="4" ht="15" customHeight="1">
      <c r="A4" s="1" t="inlineStr">
        <is>
          <t>MÃ MỤC</t>
        </is>
      </c>
      <c r="B4" s="1" t="inlineStr">
        <is>
          <t>HẠNG MỤC THÔNG TIN CẦN ĐIỀN</t>
        </is>
      </c>
      <c r="C4" s="1" t="inlineStr">
        <is>
          <t>HỌ VÀ TÊN / NỘI DUNG (Ô VÀNG BẮT BUỘC / KHÔNG NỀN TÙY CHỌN)</t>
        </is>
      </c>
      <c r="D4" s="1" t="inlineStr">
        <is>
          <t>HỌC HÀM / HỌC VỊ / TÊN FILE CV</t>
        </is>
      </c>
      <c r="E4" s="1" t="inlineStr">
        <is>
          <t>CHỨC VỤ &amp; NƠI CÔNG TÁC / ĐƯỜNG DẪN LINK CV</t>
        </is>
      </c>
      <c r="F4" s="1" t="inlineStr">
        <is>
          <t>TRẠNG THÁI KIỂM TRA (TỰ ĐỘNG)</t>
        </is>
      </c>
    </row>
    <row r="5" ht="15" customHeight="1">
      <c r="A5" s="2" t="inlineStr">
        <is>
          <t>SEC_A</t>
        </is>
      </c>
      <c r="B5" s="2" t="inlineStr">
        <is>
          <t>PHẦN A: THÔNG TIN CHUNG DỰ ÁN &amp; ĐỀ TÀI (BẮT BUỘC TẤT CẢ CÁC BỘ)</t>
        </is>
      </c>
      <c r="C5" s="2" t="n"/>
      <c r="D5" s="2" t="n"/>
      <c r="E5" s="2" t="n"/>
      <c r="F5" s="2" t="n"/>
    </row>
    <row r="6">
      <c r="A6" t="inlineStr">
        <is>
          <t>{{TEN_DE_TAI}}</t>
        </is>
      </c>
      <c r="B6" t="inlineStr">
        <is>
          <t>Tên đề tài nghiên cứu</t>
        </is>
      </c>
      <c r="C6" s="3" t="n"/>
      <c r="D6" s="3" t="n"/>
      <c r="E6" s="3" t="n"/>
      <c r="F6">
        <f>IF(ISBLANK(C6), "❌ CHƯA ĐIỀN (BÁO LỖI)", "✅ Xong")</f>
        <v/>
      </c>
    </row>
    <row r="7">
      <c r="A7" t="inlineStr">
        <is>
          <t>{{LOAI_HINH_NC}}</t>
        </is>
      </c>
      <c r="B7" t="inlineStr">
        <is>
          <t>Loại hình nghiên cứu (TVCT_ĐGHQ / TNLS)</t>
        </is>
      </c>
      <c r="C7" s="3" t="n"/>
      <c r="D7" s="3" t="n"/>
      <c r="E7" s="3" t="n"/>
      <c r="F7">
        <f>IF(ISBLANK(C7), "❌ CHƯA ĐIỀN (BÁO LỖI)", "✅ Xong")</f>
        <v/>
      </c>
    </row>
    <row r="8">
      <c r="A8" t="inlineStr">
        <is>
          <t>{{NAM}}</t>
        </is>
      </c>
      <c r="B8" t="inlineStr">
        <is>
          <t>Năm thực hiện hồ sơ (Bắt buộc điền năm)</t>
        </is>
      </c>
      <c r="C8" s="3" t="n"/>
      <c r="D8" s="3" t="n"/>
      <c r="E8" s="3" t="n"/>
      <c r="F8">
        <f>IF(ISBLANK(C8), "❌ CHƯA ĐIỀN (BÁO LỖI)", "✅ Xong")</f>
        <v/>
      </c>
    </row>
    <row r="9">
      <c r="A9" t="inlineStr">
        <is>
          <t>{{DON_VI_CHU_TRI}}</t>
        </is>
      </c>
      <c r="B9" t="inlineStr">
        <is>
          <t>Cơ quan chủ trì</t>
        </is>
      </c>
      <c r="C9" s="3" t="n"/>
      <c r="D9" s="3" t="n"/>
      <c r="E9" s="3" t="n"/>
      <c r="F9">
        <f>IF(ISBLANK(C9), "❌ CHƯA ĐIỀN (BÁO LỖI)", "✅ Xong")</f>
        <v/>
      </c>
    </row>
    <row r="10">
      <c r="A10" t="inlineStr">
        <is>
          <t>{{THOI_GIAN_BAT_DAU}}</t>
        </is>
      </c>
      <c r="B10" t="inlineStr">
        <is>
          <t>Thời gian triển khai NC</t>
        </is>
      </c>
      <c r="C10" s="3" t="n"/>
      <c r="D10" s="3" t="n"/>
      <c r="E10" s="3" t="n"/>
      <c r="F10">
        <f>IF(ISBLANK(C10), "❌ CHƯA ĐIỀN (BÁO LỖI)", "✅ Xong")</f>
        <v/>
      </c>
    </row>
    <row r="11" ht="15" customHeight="1">
      <c r="A11" t="inlineStr">
        <is>
          <t>{{DON_VI_DOI_TAC}}</t>
        </is>
      </c>
      <c r="B11" t="inlineStr">
        <is>
          <t>Cơ quan phối hợp (Tùy chọn)</t>
        </is>
      </c>
      <c r="C11" s="3" t="n"/>
      <c r="D11" s="3" t="n"/>
      <c r="E11" s="3" t="n"/>
      <c r="F11">
        <f>IF(ISBLANK(C11), "⚪ Tùy chọn (Trống)", "✅ Xong")</f>
        <v/>
      </c>
    </row>
    <row r="12">
      <c r="A12" t="inlineStr">
        <is>
          <t>{{DIA_DIEM_TRIEN_KHAI}}</t>
        </is>
      </c>
      <c r="B12" t="inlineStr">
        <is>
          <t>Địa điểm triển khai nghiên cứu (Tùy chọn)</t>
        </is>
      </c>
      <c r="C12" s="3" t="n"/>
      <c r="D12" s="3" t="n"/>
      <c r="E12" s="3" t="n"/>
      <c r="F12">
        <f>IF(ISBLANK(C12), "⚪ Tùy chọn (Trống)", "✅ Xong")</f>
        <v/>
      </c>
    </row>
    <row r="13">
      <c r="A13" t="inlineStr">
        <is>
          <t>{{DAU_MOI_LIEN_HE}}</t>
        </is>
      </c>
      <c r="B13" t="inlineStr">
        <is>
          <t>Đầu mối liên hệ (họ tên, đơn vị, email, điện thoại - Tùy chọn)</t>
        </is>
      </c>
      <c r="C13" s="3" t="n"/>
      <c r="D13" s="3" t="n"/>
      <c r="E13" s="3" t="n"/>
      <c r="F13">
        <f>IF(ISBLANK(C13), "⚪ Tùy chọn (Trống)", "✅ Xong")</f>
        <v/>
      </c>
    </row>
    <row r="14">
      <c r="A14" s="2" t="inlineStr">
        <is>
          <t>SEC_B</t>
        </is>
      </c>
      <c r="B14" s="2" t="inlineStr">
        <is>
          <t>PHẦN B: BAN CHỦ NHIỆM &amp; NGHIÊN CỨU VIÊN ĐỀ TÀI (CHỦ NHIỆM BẮT BUỘC)</t>
        </is>
      </c>
      <c r="C14" s="2" t="n"/>
      <c r="D14" s="2" t="n"/>
      <c r="E14" s="2" t="n"/>
      <c r="F14" s="2" t="n"/>
    </row>
    <row r="15">
      <c r="A15" t="inlineStr">
        <is>
          <t>{{CHU_NHIEM_HO_TEN}}</t>
        </is>
      </c>
      <c r="B15" t="inlineStr">
        <is>
          <t>Chủ nhiệm đề tài (CNĐT - Bắt buộc)</t>
        </is>
      </c>
      <c r="C15" s="3" t="n"/>
      <c r="D15" s="3" t="inlineStr"/>
      <c r="E15" s="3" t="inlineStr"/>
      <c r="F15">
        <f>IF(ISBLANK(C15), "❌ CHƯA ĐIỀN (BÁO LỖI)", "✅ Xong")</f>
        <v/>
      </c>
    </row>
    <row r="16">
      <c r="A16" t="inlineStr">
        <is>
          <t>{{DONG_CHU_NHIEM_HO_TEN}}</t>
        </is>
      </c>
      <c r="B16" t="inlineStr">
        <is>
          <t>Đồng Chủ nhiệm đề tài (Tùy chọn)</t>
        </is>
      </c>
      <c r="F16">
        <f>IF(ISBLANK(C16), "⚪ Tùy chọn (Trống)", "✅ Xong")</f>
        <v/>
      </c>
    </row>
    <row r="17">
      <c r="A17" t="inlineStr">
        <is>
          <t>{{THU_KY_DE_TAI}}</t>
        </is>
      </c>
      <c r="B17" t="inlineStr">
        <is>
          <t>Thư ký Đề tài (Khác Thư ký HĐ - Tùy chọn)</t>
        </is>
      </c>
      <c r="F17">
        <f>IF(ISBLANK(C17), "⚪ Tùy chọn (Trống)", "✅ Xong")</f>
        <v/>
      </c>
    </row>
    <row r="18">
      <c r="A18" t="inlineStr">
        <is>
          <t>{{DANH_SACH_NGHIEN_CUU_VIEN}}</t>
        </is>
      </c>
      <c r="B18" t="inlineStr">
        <is>
          <t>Nghiên cứu viên 1</t>
        </is>
      </c>
      <c r="F18">
        <f>IF(ISBLANK(C18), "⚪ Tùy chọn (Trống)", "✅ Xong")</f>
        <v/>
      </c>
    </row>
    <row r="19">
      <c r="A19" t="inlineStr">
        <is>
          <t>B05</t>
        </is>
      </c>
      <c r="B19" t="inlineStr">
        <is>
          <t>Nghiên cứu viên 2</t>
        </is>
      </c>
      <c r="F19">
        <f>IF(ISBLANK(C19), "⚪ Tùy chọn (Trống)", "✅ Xong")</f>
        <v/>
      </c>
    </row>
    <row r="20">
      <c r="A20" t="inlineStr">
        <is>
          <t>B06</t>
        </is>
      </c>
      <c r="B20" t="inlineStr">
        <is>
          <t>Nghiên cứu viên 3</t>
        </is>
      </c>
      <c r="F20">
        <f>IF(ISBLANK(C20), "⚪ Tùy chọn (Trống)", "✅ Xong")</f>
        <v/>
      </c>
    </row>
    <row r="21">
      <c r="A21" t="inlineStr">
        <is>
          <t>B07</t>
        </is>
      </c>
      <c r="B21" t="inlineStr">
        <is>
          <t>Nghiên cứu viên 4</t>
        </is>
      </c>
      <c r="F21">
        <f>IF(ISBLANK(C21), "⚪ Tùy chọn (Trống)", "✅ Xong")</f>
        <v/>
      </c>
    </row>
    <row r="22">
      <c r="A22" t="inlineStr">
        <is>
          <t>B08</t>
        </is>
      </c>
      <c r="B22" t="inlineStr">
        <is>
          <t>Nghiên cứu viên 5</t>
        </is>
      </c>
      <c r="F22">
        <f>IF(ISBLANK(C22), "⚪ Tùy chọn (Trống)", "✅ Xong")</f>
        <v/>
      </c>
    </row>
    <row r="23">
      <c r="A23" t="inlineStr">
        <is>
          <t>B09</t>
        </is>
      </c>
      <c r="B23" t="inlineStr">
        <is>
          <t>Nghiên cứu viên 6</t>
        </is>
      </c>
      <c r="F23">
        <f>IF(ISBLANK(C23), "⚪ Tùy chọn (Trống)", "✅ Xong")</f>
        <v/>
      </c>
    </row>
    <row r="24">
      <c r="A24" t="inlineStr">
        <is>
          <t>B10</t>
        </is>
      </c>
      <c r="B24" t="inlineStr">
        <is>
          <t>Nghiên cứu viên 7</t>
        </is>
      </c>
      <c r="F24">
        <f>IF(ISBLANK(C24), "⚪ Tùy chọn (Trống)", "✅ Xong")</f>
        <v/>
      </c>
    </row>
    <row r="25">
      <c r="A25" t="inlineStr">
        <is>
          <t>B11</t>
        </is>
      </c>
      <c r="B25" t="inlineStr">
        <is>
          <t>Nghiên cứu viên 8</t>
        </is>
      </c>
      <c r="F25">
        <f>IF(ISBLANK(C25), "⚪ Tùy chọn (Trống)", "✅ Xong")</f>
        <v/>
      </c>
    </row>
    <row r="26">
      <c r="A26" t="inlineStr">
        <is>
          <t>B12</t>
        </is>
      </c>
      <c r="B26" t="inlineStr">
        <is>
          <t>Nghiên cứu viên 9</t>
        </is>
      </c>
      <c r="F26">
        <f>IF(ISBLANK(C26), "⚪ Tùy chọn (Trống)", "✅ Xong")</f>
        <v/>
      </c>
    </row>
    <row r="27">
      <c r="A27" t="inlineStr">
        <is>
          <t>B13</t>
        </is>
      </c>
      <c r="B27" t="inlineStr">
        <is>
          <t>Nghiên cứu viên 10</t>
        </is>
      </c>
      <c r="F27">
        <f>IF(ISBLANK(C27), "⚪ Tùy chọn (Trống)", "✅ Xong")</f>
        <v/>
      </c>
    </row>
    <row r="28">
      <c r="A28" t="inlineStr">
        <is>
          <t>B14</t>
        </is>
      </c>
      <c r="B28" t="inlineStr">
        <is>
          <t>Nghiên cứu viên 11</t>
        </is>
      </c>
      <c r="F28">
        <f>IF(ISBLANK(C28), "⚪ Tùy chọn (Trống)", "✅ Xong")</f>
        <v/>
      </c>
    </row>
    <row r="29">
      <c r="A29" t="inlineStr">
        <is>
          <t>B15</t>
        </is>
      </c>
      <c r="B29" t="inlineStr">
        <is>
          <t>Nghiên cứu viên 12</t>
        </is>
      </c>
      <c r="F29">
        <f>IF(ISBLANK(C29), "⚪ Tùy chọn (Trống)", "✅ Xong")</f>
        <v/>
      </c>
    </row>
    <row r="30">
      <c r="A30" t="inlineStr">
        <is>
          <t>B16</t>
        </is>
      </c>
      <c r="B30" t="inlineStr">
        <is>
          <t>Nghiên cứu viên 13</t>
        </is>
      </c>
      <c r="F30">
        <f>IF(ISBLANK(C30), "⚪ Tùy chọn (Trống)", "✅ Xong")</f>
        <v/>
      </c>
    </row>
    <row r="31">
      <c r="A31" t="inlineStr">
        <is>
          <t>B17</t>
        </is>
      </c>
      <c r="B31" t="inlineStr">
        <is>
          <t>Nghiên cứu viên 14</t>
        </is>
      </c>
      <c r="F31">
        <f>IF(ISBLANK(C31), "⚪ Tùy chọn (Trống)", "✅ Xong")</f>
        <v/>
      </c>
    </row>
    <row r="32" ht="15" customHeight="1">
      <c r="A32" t="inlineStr">
        <is>
          <t>B18</t>
        </is>
      </c>
      <c r="B32" t="inlineStr">
        <is>
          <t>Nghiên cứu viên 15</t>
        </is>
      </c>
      <c r="F32">
        <f>IF(ISBLANK(C32), "⚪ Tùy chọn (Trống)", "✅ Xong")</f>
        <v/>
      </c>
    </row>
    <row r="33">
      <c r="A33" t="inlineStr">
        <is>
          <t>B19</t>
        </is>
      </c>
      <c r="B33" t="inlineStr">
        <is>
          <t>Nghiên cứu viên 16</t>
        </is>
      </c>
      <c r="F33">
        <f>IF(ISBLANK(C33), "⚪ Tùy chọn (Trống)", "✅ Xong")</f>
        <v/>
      </c>
    </row>
    <row r="34">
      <c r="A34" t="inlineStr">
        <is>
          <t>B20</t>
        </is>
      </c>
      <c r="B34" t="inlineStr">
        <is>
          <t>Nghiên cứu viên 17</t>
        </is>
      </c>
      <c r="F34">
        <f>IF(ISBLANK(C34), "⚪ Tùy chọn (Trống)", "✅ Xong")</f>
        <v/>
      </c>
    </row>
    <row r="35">
      <c r="A35" s="2" t="inlineStr">
        <is>
          <t>SEC_C</t>
        </is>
      </c>
      <c r="B35" s="2">
        <f>"PHẦN C: HỘI ĐỒNG ĐẠO ĐỨC TRONG NGHIÊN CỨU " &amp; IF(ISNUMBER(SEARCH("dao_duc", VLOOKUP($C$3, _BoHoSo!$A$2:$D$8, 4, FALSE))), "🟢 [BẮT BUỘC - ĐANG ÁP DỤNG]", "⚪ [KHÔNG ÁP DỤNG CHO BỘ NÀY]")</f>
        <v/>
      </c>
      <c r="C35" s="2" t="n"/>
      <c r="D35" s="2" t="n"/>
      <c r="E35" s="2" t="n"/>
      <c r="F35" s="2" t="n"/>
    </row>
    <row r="36">
      <c r="A36" t="inlineStr">
        <is>
          <t>{{CHU_TICH_HD_DAO_DUC}}</t>
        </is>
      </c>
      <c r="B36" t="inlineStr">
        <is>
          <t>Chủ tịch HĐ Đạo đức (Bắt buộc)</t>
        </is>
      </c>
      <c r="C36" s="3" t="n"/>
      <c r="D36" s="3" t="inlineStr"/>
      <c r="E36" s="3" t="inlineStr"/>
      <c r="F36">
        <f>IF(ISNUMBER(SEARCH("dao_duc", VLOOKUP($C$3, _BoHoSo!$A$2:$D$8, 4, FALSE))), IF(ISBLANK(C36), "❌ CHƯA ĐIỀN (BÁO LỖI)", "✅ Xong"), "⚪ Không yêu cầu cho bộ này")</f>
        <v/>
      </c>
    </row>
    <row r="37">
      <c r="A37" t="inlineStr">
        <is>
          <t>C02</t>
        </is>
      </c>
      <c r="B37" t="inlineStr">
        <is>
          <t>Ủy viên Phản biện 1 (Bắt buộc)</t>
        </is>
      </c>
      <c r="C37" s="3" t="n"/>
      <c r="D37" s="3" t="inlineStr"/>
      <c r="E37" s="3" t="inlineStr"/>
      <c r="F37">
        <f>IF(ISNUMBER(SEARCH("dao_duc", VLOOKUP($C$3, _BoHoSo!$A$2:$D$8, 4, FALSE))), IF(ISBLANK(C37), "❌ CHƯA ĐIỀN (BÁO LỖI)", "✅ Xong"), "⚪ Không yêu cầu cho bộ này")</f>
        <v/>
      </c>
    </row>
    <row r="38">
      <c r="A38" t="inlineStr">
        <is>
          <t>C03</t>
        </is>
      </c>
      <c r="B38" t="inlineStr">
        <is>
          <t>Ủy viên Phản biện 2 (Bắt buộc)</t>
        </is>
      </c>
      <c r="C38" s="3" t="n"/>
      <c r="D38" s="3" t="inlineStr"/>
      <c r="E38" s="3" t="inlineStr"/>
      <c r="F38">
        <f>IF(ISNUMBER(SEARCH("dao_duc", VLOOKUP($C$3, _BoHoSo!$A$2:$D$8, 4, FALSE))), IF(ISBLANK(C38), "❌ CHƯA ĐIỀN (BÁO LỖI)", "✅ Xong"), "⚪ Không yêu cầu cho bộ này")</f>
        <v/>
      </c>
    </row>
    <row r="39">
      <c r="A39" t="inlineStr">
        <is>
          <t>C04</t>
        </is>
      </c>
      <c r="B39" t="inlineStr">
        <is>
          <t>Ủy viên HĐ Đạo đức 1 (Bắt buộc)</t>
        </is>
      </c>
      <c r="C39" s="3" t="n"/>
      <c r="D39" s="3" t="inlineStr"/>
      <c r="E39" s="3" t="inlineStr"/>
      <c r="F39">
        <f>IF(ISNUMBER(SEARCH("dao_duc", VLOOKUP($C$3, _BoHoSo!$A$2:$D$8, 4, FALSE))), IF(ISBLANK(C39), "❌ CHƯA ĐIỀN (BÁO LỖI)", "✅ Xong"), "⚪ Không yêu cầu cho bộ này")</f>
        <v/>
      </c>
    </row>
    <row r="40">
      <c r="A40" t="inlineStr">
        <is>
          <t>C05</t>
        </is>
      </c>
      <c r="B40" t="inlineStr">
        <is>
          <t>Ủy viên HĐ Đạo đức 2 (Bắt buộc)</t>
        </is>
      </c>
      <c r="C40" s="3" t="n"/>
      <c r="D40" s="3" t="inlineStr"/>
      <c r="E40" s="3" t="inlineStr"/>
      <c r="F40">
        <f>IF(ISNUMBER(SEARCH("dao_duc", VLOOKUP($C$3, _BoHoSo!$A$2:$D$8, 4, FALSE))), IF(ISBLANK(C40), "❌ CHƯA ĐIỀN (BÁO LỖI)", "✅ Xong"), "⚪ Không yêu cầu cho bộ này")</f>
        <v/>
      </c>
    </row>
    <row r="41">
      <c r="A41" t="inlineStr">
        <is>
          <t>C06</t>
        </is>
      </c>
      <c r="B41" t="inlineStr">
        <is>
          <t>Ủy viên Phản biện 3 (Tùy chọn)</t>
        </is>
      </c>
      <c r="F41">
        <f>IF(ISBLANK(C41), "⚪ Tùy chọn (Trống)", "✅ Xong")</f>
        <v/>
      </c>
    </row>
    <row r="42">
      <c r="A42" t="inlineStr">
        <is>
          <t>C07</t>
        </is>
      </c>
      <c r="B42" t="inlineStr">
        <is>
          <t>Ủy viên HĐ Đạo đức 3 (Tùy chọn)</t>
        </is>
      </c>
      <c r="F42">
        <f>IF(ISBLANK(C42), "⚪ Tùy chọn (Trống)", "✅ Xong")</f>
        <v/>
      </c>
    </row>
    <row r="43" ht="15" customHeight="1">
      <c r="A43" t="inlineStr">
        <is>
          <t>C08</t>
        </is>
      </c>
      <c r="B43" t="inlineStr">
        <is>
          <t>Ủy viên HĐ Đạo đức 4 (Tùy chọn)</t>
        </is>
      </c>
      <c r="F43">
        <f>IF(ISBLANK(C43), "⚪ Tùy chọn (Trống)", "✅ Xong")</f>
        <v/>
      </c>
    </row>
    <row r="44">
      <c r="A44" t="inlineStr">
        <is>
          <t>C09</t>
        </is>
      </c>
      <c r="B44" t="inlineStr">
        <is>
          <t>Thư ký HĐ Đạo đức 1 (Bắt buộc)</t>
        </is>
      </c>
      <c r="C44" s="3" t="n"/>
      <c r="D44" s="3" t="inlineStr"/>
      <c r="E44" s="3" t="inlineStr"/>
      <c r="F44">
        <f>IF(ISNUMBER(SEARCH("dao_duc", VLOOKUP($C$3, _BoHoSo!$A$2:$D$8, 4, FALSE))), IF(ISBLANK(C44), "❌ CHƯA ĐIỀN (BÁO LỖI)", "✅ Xong"), "⚪ Không yêu cầu cho bộ này")</f>
        <v/>
      </c>
    </row>
    <row r="45">
      <c r="A45" t="inlineStr">
        <is>
          <t>C10</t>
        </is>
      </c>
      <c r="B45" t="inlineStr">
        <is>
          <t>Thư ký HĐ Đạo đức 2 (Bắt buộc)</t>
        </is>
      </c>
      <c r="C45" s="3" t="n"/>
      <c r="D45" s="3" t="inlineStr"/>
      <c r="E45" s="3" t="inlineStr"/>
      <c r="F45">
        <f>IF(ISNUMBER(SEARCH("dao_duc", VLOOKUP($C$3, _BoHoSo!$A$2:$D$8, 4, FALSE))), IF(ISBLANK(C45), "❌ CHƯA ĐIỀN (BÁO LỖI)", "✅ Xong"), "⚪ Không yêu cầu cho bộ này")</f>
        <v/>
      </c>
    </row>
    <row r="46">
      <c r="A46" s="2" t="inlineStr">
        <is>
          <t>SEC_D</t>
        </is>
      </c>
      <c r="B46" s="2">
        <f>"PHẦN D: HỘI ĐỒNG KHOA HỌC XÉT DUYỆT ĐỀ CƯƠNG " &amp; IF(ISNUMBER(SEARCH("khoa_hoc", VLOOKUP($C$3, _BoHoSo!$A$2:$D$8, 4, FALSE))), "🟢 [BẮT BUỘC - ĐANG ÁP DỤNG]", "⚪ [KHÔNG ÁP DỤNG CHO BỘ NÀY]")</f>
        <v/>
      </c>
      <c r="C46" s="2" t="n"/>
      <c r="D46" s="2" t="n"/>
      <c r="E46" s="2" t="n"/>
      <c r="F46" s="2" t="n"/>
    </row>
    <row r="47">
      <c r="A47" t="inlineStr">
        <is>
          <t>{{CHU_TICH_HD_KHOA_HOC}}</t>
        </is>
      </c>
      <c r="B47" t="inlineStr">
        <is>
          <t>Chủ tịch HĐ Đề cương (Bắt buộc)</t>
        </is>
      </c>
      <c r="C47" s="3" t="n"/>
      <c r="D47" s="3" t="inlineStr"/>
      <c r="E47" s="3" t="inlineStr"/>
      <c r="F47">
        <f>IF(ISNUMBER(SEARCH("khoa_hoc", VLOOKUP($C$3, _BoHoSo!$A$2:$D$8, 4, FALSE))), IF(ISBLANK(C47), "❌ CHƯA ĐIỀN (BÁO LỖI)", "✅ Xong"), "⚪ Không yêu cầu cho bộ này")</f>
        <v/>
      </c>
    </row>
    <row r="48">
      <c r="A48" t="inlineStr">
        <is>
          <t>D02</t>
        </is>
      </c>
      <c r="B48" t="inlineStr">
        <is>
          <t>Ủy viên Phản biện 1 (Bắt buộc)</t>
        </is>
      </c>
      <c r="C48" s="3" t="n"/>
      <c r="D48" s="3" t="inlineStr"/>
      <c r="E48" s="3" t="inlineStr"/>
      <c r="F48">
        <f>IF(ISNUMBER(SEARCH("khoa_hoc", VLOOKUP($C$3, _BoHoSo!$A$2:$D$8, 4, FALSE))), IF(ISBLANK(C48), "❌ CHƯA ĐIỀN (BÁO LỖI)", "✅ Xong"), "⚪ Không yêu cầu cho bộ này")</f>
        <v/>
      </c>
    </row>
    <row r="49">
      <c r="A49" t="inlineStr">
        <is>
          <t>D03</t>
        </is>
      </c>
      <c r="B49" t="inlineStr">
        <is>
          <t>Ủy viên Phản biện 2 (Bắt buộc)</t>
        </is>
      </c>
      <c r="C49" s="3" t="n"/>
      <c r="D49" s="3" t="inlineStr"/>
      <c r="E49" s="3" t="inlineStr"/>
      <c r="F49">
        <f>IF(ISNUMBER(SEARCH("khoa_hoc", VLOOKUP($C$3, _BoHoSo!$A$2:$D$8, 4, FALSE))), IF(ISBLANK(C49), "❌ CHƯA ĐIỀN (BÁO LỖI)", "✅ Xong"), "⚪ Không yêu cầu cho bộ này")</f>
        <v/>
      </c>
    </row>
    <row r="50">
      <c r="A50" t="inlineStr">
        <is>
          <t>D04</t>
        </is>
      </c>
      <c r="B50" t="inlineStr">
        <is>
          <t>Ủy viên HĐ Đề cương 1 (Bắt buộc)</t>
        </is>
      </c>
      <c r="C50" s="3" t="n"/>
      <c r="D50" s="3" t="inlineStr"/>
      <c r="E50" s="3" t="inlineStr"/>
      <c r="F50">
        <f>IF(ISNUMBER(SEARCH("khoa_hoc", VLOOKUP($C$3, _BoHoSo!$A$2:$D$8, 4, FALSE))), IF(ISBLANK(C50), "❌ CHƯA ĐIỀN (BÁO LỖI)", "✅ Xong"), "⚪ Không yêu cầu cho bộ này")</f>
        <v/>
      </c>
    </row>
    <row r="51">
      <c r="A51" t="inlineStr">
        <is>
          <t>D05</t>
        </is>
      </c>
      <c r="B51" t="inlineStr">
        <is>
          <t>Ủy viên HĐ Đề cương 2 (Bắt buộc)</t>
        </is>
      </c>
      <c r="C51" s="3" t="n"/>
      <c r="D51" s="3" t="inlineStr"/>
      <c r="E51" s="3" t="inlineStr"/>
      <c r="F51">
        <f>IF(ISNUMBER(SEARCH("khoa_hoc", VLOOKUP($C$3, _BoHoSo!$A$2:$D$8, 4, FALSE))), IF(ISBLANK(C51), "❌ CHƯA ĐIỀN (BÁO LỖI)", "✅ Xong"), "⚪ Không yêu cầu cho bộ này")</f>
        <v/>
      </c>
    </row>
    <row r="52">
      <c r="A52" t="inlineStr">
        <is>
          <t>D06</t>
        </is>
      </c>
      <c r="B52" t="inlineStr">
        <is>
          <t>Ủy viên Phản biện 3 (Tùy chọn)</t>
        </is>
      </c>
      <c r="F52">
        <f>IF(ISBLANK(C52), "⚪ Tùy chọn (Trống)", "✅ Xong")</f>
        <v/>
      </c>
    </row>
    <row r="53">
      <c r="A53" t="inlineStr">
        <is>
          <t>D07</t>
        </is>
      </c>
      <c r="B53" t="inlineStr">
        <is>
          <t>Ủy viên HĐ Đề cương 3 (Tùy chọn)</t>
        </is>
      </c>
      <c r="F53">
        <f>IF(ISBLANK(C53), "⚪ Tùy chọn (Trống)", "✅ Xong")</f>
        <v/>
      </c>
    </row>
    <row r="54" ht="15" customHeight="1">
      <c r="A54" t="inlineStr">
        <is>
          <t>D08</t>
        </is>
      </c>
      <c r="B54" t="inlineStr">
        <is>
          <t>Ủy viên HĐ Đề cương 4 (Tùy chọn)</t>
        </is>
      </c>
      <c r="F54">
        <f>IF(ISBLANK(C54), "⚪ Tùy chọn (Trống)", "✅ Xong")</f>
        <v/>
      </c>
    </row>
    <row r="55">
      <c r="A55" t="inlineStr">
        <is>
          <t>D09</t>
        </is>
      </c>
      <c r="B55" t="inlineStr">
        <is>
          <t>Thư ký HĐ Đề cương 1 (Bắt buộc)</t>
        </is>
      </c>
      <c r="C55" s="3" t="n"/>
      <c r="D55" s="3" t="inlineStr"/>
      <c r="E55" s="3" t="inlineStr"/>
      <c r="F55">
        <f>IF(ISNUMBER(SEARCH("khoa_hoc", VLOOKUP($C$3, _BoHoSo!$A$2:$D$8, 4, FALSE))), IF(ISBLANK(C55), "❌ CHƯA ĐIỀN (BÁO LỖI)", "✅ Xong"), "⚪ Không yêu cầu cho bộ này")</f>
        <v/>
      </c>
    </row>
    <row r="56">
      <c r="A56" t="inlineStr">
        <is>
          <t>D10</t>
        </is>
      </c>
      <c r="B56" t="inlineStr">
        <is>
          <t>Thư ký HĐ Đề cương 2 (Bắt buộc)</t>
        </is>
      </c>
      <c r="C56" s="3" t="n"/>
      <c r="D56" s="3" t="inlineStr"/>
      <c r="E56" s="3" t="inlineStr"/>
      <c r="F56">
        <f>IF(ISNUMBER(SEARCH("khoa_hoc", VLOOKUP($C$3, _BoHoSo!$A$2:$D$8, 4, FALSE))), IF(ISBLANK(C56), "❌ CHƯA ĐIỀN (BÁO LỖI)", "✅ Xong"), "⚪ Không yêu cầu cho bộ này")</f>
        <v/>
      </c>
    </row>
    <row r="57">
      <c r="A57" s="2" t="inlineStr">
        <is>
          <t>SEC_E</t>
        </is>
      </c>
      <c r="B57" s="2">
        <f>"PHẦN E: HỘI ĐỒNG ĐÁNH GIÁ NGHIỆM THU " &amp; IF(ISNUMBER(SEARCH("nghiem_thu", VLOOKUP($C$3, _BoHoSo!$A$2:$D$8, 4, FALSE))), "🟢 [BẮT BUỘC - ĐANG ÁP DỤNG]", "⚪ [KHÔNG ÁP DỤNG CHO BỘ NÀY]")</f>
        <v/>
      </c>
      <c r="C57" s="2" t="n"/>
      <c r="D57" s="2" t="n"/>
      <c r="E57" s="2" t="n"/>
      <c r="F57" s="2" t="n"/>
    </row>
    <row r="58">
      <c r="A58" t="inlineStr">
        <is>
          <t>{{CHU_TICH_HD_NGHIEM_THU}}</t>
        </is>
      </c>
      <c r="B58" t="inlineStr">
        <is>
          <t>Chủ tịch HĐ Nghiệm thu (Bắt buộc)</t>
        </is>
      </c>
      <c r="C58" s="3" t="n"/>
      <c r="D58" s="3" t="inlineStr"/>
      <c r="E58" s="3" t="inlineStr"/>
      <c r="F58">
        <f>IF(ISNUMBER(SEARCH("nghiem_thu", VLOOKUP($C$3, _BoHoSo!$A$2:$D$8, 4, FALSE))), IF(ISBLANK(C58), "❌ CHƯA ĐIỀN (BÁO LỖI)", "✅ Xong"), "⚪ Không yêu cầu cho bộ này")</f>
        <v/>
      </c>
    </row>
    <row r="59">
      <c r="A59" t="inlineStr">
        <is>
          <t>E02</t>
        </is>
      </c>
      <c r="B59" t="inlineStr">
        <is>
          <t>Ủy viên Phản biện 1 (Bắt buộc)</t>
        </is>
      </c>
      <c r="C59" s="3" t="n"/>
      <c r="D59" s="3" t="inlineStr"/>
      <c r="E59" s="3" t="inlineStr"/>
      <c r="F59">
        <f>IF(ISNUMBER(SEARCH("nghiem_thu", VLOOKUP($C$3, _BoHoSo!$A$2:$D$8, 4, FALSE))), IF(ISBLANK(C59), "❌ CHƯA ĐIỀN (BÁO LỖI)", "✅ Xong"), "⚪ Không yêu cầu cho bộ này")</f>
        <v/>
      </c>
    </row>
    <row r="60">
      <c r="A60" t="inlineStr">
        <is>
          <t>E03</t>
        </is>
      </c>
      <c r="B60" t="inlineStr">
        <is>
          <t>Ủy viên Phản biện 2 (Bắt buộc)</t>
        </is>
      </c>
      <c r="C60" s="3" t="n"/>
      <c r="D60" s="3" t="inlineStr"/>
      <c r="E60" s="3" t="inlineStr"/>
      <c r="F60">
        <f>IF(ISNUMBER(SEARCH("nghiem_thu", VLOOKUP($C$3, _BoHoSo!$A$2:$D$8, 4, FALSE))), IF(ISBLANK(C60), "❌ CHƯA ĐIỀN (BÁO LỖI)", "✅ Xong"), "⚪ Không yêu cầu cho bộ này")</f>
        <v/>
      </c>
    </row>
    <row r="61">
      <c r="A61" t="inlineStr">
        <is>
          <t>E04</t>
        </is>
      </c>
      <c r="B61" t="inlineStr">
        <is>
          <t>Ủy viên HĐ Nghiệm thu 1 (Bắt buộc)</t>
        </is>
      </c>
      <c r="C61" s="3" t="n"/>
      <c r="D61" s="3" t="inlineStr"/>
      <c r="E61" s="3" t="inlineStr"/>
      <c r="F61">
        <f>IF(ISNUMBER(SEARCH("nghiem_thu", VLOOKUP($C$3, _BoHoSo!$A$2:$D$8, 4, FALSE))), IF(ISBLANK(C61), "❌ CHƯA ĐIỀN (BÁO LỖI)", "✅ Xong"), "⚪ Không yêu cầu cho bộ này")</f>
        <v/>
      </c>
    </row>
    <row r="62">
      <c r="A62" t="inlineStr">
        <is>
          <t>E05</t>
        </is>
      </c>
      <c r="B62" t="inlineStr">
        <is>
          <t>Ủy viên HĐ Nghiệm thu 2 (Bắt buộc)</t>
        </is>
      </c>
      <c r="C62" s="3" t="n"/>
      <c r="D62" s="3" t="inlineStr"/>
      <c r="E62" s="3" t="inlineStr"/>
      <c r="F62">
        <f>IF(ISNUMBER(SEARCH("nghiem_thu", VLOOKUP($C$3, _BoHoSo!$A$2:$D$8, 4, FALSE))), IF(ISBLANK(C62), "❌ CHƯA ĐIỀN (BÁO LỖI)", "✅ Xong"), "⚪ Không yêu cầu cho bộ này")</f>
        <v/>
      </c>
    </row>
    <row r="63">
      <c r="A63" t="inlineStr">
        <is>
          <t>E06</t>
        </is>
      </c>
      <c r="B63" t="inlineStr">
        <is>
          <t>Ủy viên Phản biện 3 (Tùy chọn)</t>
        </is>
      </c>
      <c r="F63">
        <f>IF(ISBLANK(C63), "⚪ Tùy chọn (Trống)", "✅ Xong")</f>
        <v/>
      </c>
    </row>
    <row r="64">
      <c r="A64" t="inlineStr">
        <is>
          <t>E07</t>
        </is>
      </c>
      <c r="B64" t="inlineStr">
        <is>
          <t>Ủy viên HĐ Nghiệm thu 3 (Tùy chọn)</t>
        </is>
      </c>
      <c r="F64">
        <f>IF(ISBLANK(C64), "⚪ Tùy chọn (Trống)", "✅ Xong")</f>
        <v/>
      </c>
    </row>
    <row r="65" ht="15" customHeight="1">
      <c r="A65" t="inlineStr">
        <is>
          <t>E08</t>
        </is>
      </c>
      <c r="B65" t="inlineStr">
        <is>
          <t>Ủy viên HĐ Nghiệm thu 4 (Tùy chọn)</t>
        </is>
      </c>
      <c r="F65">
        <f>IF(ISBLANK(C65), "⚪ Tùy chọn (Trống)", "✅ Xong")</f>
        <v/>
      </c>
    </row>
    <row r="66">
      <c r="A66" t="inlineStr">
        <is>
          <t>E09</t>
        </is>
      </c>
      <c r="B66" t="inlineStr">
        <is>
          <t>Thư ký HĐ Nghiệm thu 1 (Bắt buộc)</t>
        </is>
      </c>
      <c r="C66" s="3" t="n"/>
      <c r="D66" s="3" t="inlineStr"/>
      <c r="E66" s="3" t="inlineStr"/>
      <c r="F66">
        <f>IF(ISNUMBER(SEARCH("nghiem_thu", VLOOKUP($C$3, _BoHoSo!$A$2:$D$8, 4, FALSE))), IF(ISBLANK(C66), "❌ CHƯA ĐIỀN (BÁO LỖI)", "✅ Xong"), "⚪ Không yêu cầu cho bộ này")</f>
        <v/>
      </c>
    </row>
    <row r="67">
      <c r="A67" t="inlineStr">
        <is>
          <t>E10</t>
        </is>
      </c>
      <c r="B67" t="inlineStr">
        <is>
          <t>Thư ký HĐ Nghiệm thu 2 (Bắt buộc)</t>
        </is>
      </c>
      <c r="C67" s="3" t="n"/>
      <c r="D67" s="3" t="inlineStr"/>
      <c r="E67" s="3" t="inlineStr"/>
      <c r="F67">
        <f>IF(ISNUMBER(SEARCH("nghiem_thu", VLOOKUP($C$3, _BoHoSo!$A$2:$D$8, 4, FALSE))), IF(ISBLANK(C67), "❌ CHƯA ĐIỀN (BÁO LỖI)", "✅ Xong"), "⚪ Không yêu cầu cho bộ này")</f>
        <v/>
      </c>
    </row>
    <row r="68">
      <c r="A68" s="2" t="inlineStr">
        <is>
          <t>SEC_F</t>
        </is>
      </c>
      <c r="B68" s="2">
        <f>"PHẦN F: LÝ LỊCH KHOA HỌC CHUYÊN GIA (CV) " &amp; IF(ISNUMBER(SEARCH("dao_duc", VLOOKUP($C$3, _BoHoSo!$A$2:$D$8, 4, FALSE))), "🟢 [BẮT BUỘC CV CHỦ NHIỆM]", "⚪ [TÙY CHỌN]")</f>
        <v/>
      </c>
      <c r="C68" s="2" t="n"/>
      <c r="D68" s="2" t="n"/>
      <c r="E68" s="2" t="n"/>
      <c r="F68" s="2" t="n"/>
    </row>
    <row r="69">
      <c r="A69" t="inlineStr">
        <is>
          <t>F01</t>
        </is>
      </c>
      <c r="B69" t="inlineStr">
        <is>
          <t>Hồ sơ Chủ nhiệm đề tài (Bắt buộc - File mặc định cho HĐ Đạo đức)</t>
        </is>
      </c>
      <c r="C69" s="3" t="n"/>
      <c r="D69" s="3" t="n"/>
      <c r="E69" s="3" t="n"/>
      <c r="F69">
        <f>IF(ISBLANK(C69), "❌ CHƯA ĐIỀN (BÁO LỖI)", "✅ Xong")</f>
        <v/>
      </c>
    </row>
    <row r="70">
      <c r="A70" t="inlineStr">
        <is>
          <t>F02</t>
        </is>
      </c>
      <c r="B70" t="inlineStr">
        <is>
          <t>Hồ sơ Đồng Chủ nhiệm (Tùy chọn)</t>
        </is>
      </c>
      <c r="F70">
        <f>IF(ISBLANK(C70), "⚪ Tùy chọn (Trống)", "✅ Xong")</f>
        <v/>
      </c>
    </row>
    <row r="71">
      <c r="A71" t="inlineStr">
        <is>
          <t>F03</t>
        </is>
      </c>
      <c r="B71" t="inlineStr">
        <is>
          <t>Hồ sơ Thư ký Đề tài (Tùy chọn)</t>
        </is>
      </c>
      <c r="F71">
        <f>IF(ISBLANK(C71), "⚪ Tùy chọn (Trống)", "✅ Xong")</f>
        <v/>
      </c>
    </row>
    <row r="72">
      <c r="A72" t="inlineStr">
        <is>
          <t>F04</t>
        </is>
      </c>
      <c r="B72" t="inlineStr">
        <is>
          <t>Hồ sơ Chuyên gia / Thành viên 4 (Tùy chọn)</t>
        </is>
      </c>
      <c r="F72">
        <f>IF(ISBLANK(C72), "⚪ Tùy chọn (Trống)", "✅ Xong")</f>
        <v/>
      </c>
    </row>
    <row r="73">
      <c r="A73" t="inlineStr">
        <is>
          <t>F05</t>
        </is>
      </c>
      <c r="B73" t="inlineStr">
        <is>
          <t>Hồ sơ Chuyên gia / Thành viên 5 (Tùy chọn)</t>
        </is>
      </c>
      <c r="F73">
        <f>IF(ISBLANK(C73), "⚪ Tùy chọn (Trống)", "✅ Xong")</f>
        <v/>
      </c>
    </row>
    <row r="74">
      <c r="A74" t="inlineStr">
        <is>
          <t>F06</t>
        </is>
      </c>
      <c r="B74" t="inlineStr">
        <is>
          <t>Hồ sơ Chuyên gia / Thành viên 6 (Tùy chọn)</t>
        </is>
      </c>
      <c r="F74">
        <f>IF(ISBLANK(C74), "⚪ Tùy chọn (Trống)", "✅ Xong")</f>
        <v/>
      </c>
    </row>
    <row r="75">
      <c r="A75" t="inlineStr">
        <is>
          <t>F07</t>
        </is>
      </c>
      <c r="B75" t="inlineStr">
        <is>
          <t>Hồ sơ Chuyên gia / Thành viên 7 (Tùy chọn)</t>
        </is>
      </c>
      <c r="F75">
        <f>IF(ISBLANK(C75), "⚪ Tùy chọn (Trống)", "✅ Xong")</f>
        <v/>
      </c>
    </row>
    <row r="76">
      <c r="A76" t="inlineStr">
        <is>
          <t>F08</t>
        </is>
      </c>
      <c r="B76" t="inlineStr">
        <is>
          <t>Hồ sơ Chuyên gia / Thành viên 8 (Tùy chọn)</t>
        </is>
      </c>
      <c r="F76">
        <f>IF(ISBLANK(C76), "⚪ Tùy chọn (Trống)", "✅ Xong")</f>
        <v/>
      </c>
    </row>
    <row r="77">
      <c r="A77" t="inlineStr">
        <is>
          <t>F09</t>
        </is>
      </c>
      <c r="B77" t="inlineStr">
        <is>
          <t>Hồ sơ Chuyên gia / Thành viên 9 (Tùy chọn)</t>
        </is>
      </c>
      <c r="F77">
        <f>IF(ISBLANK(C77), "⚪ Tùy chọn (Trống)", "✅ Xong")</f>
        <v/>
      </c>
    </row>
    <row r="78">
      <c r="A78" t="inlineStr">
        <is>
          <t>F10</t>
        </is>
      </c>
      <c r="B78" t="inlineStr">
        <is>
          <t>Hồ sơ Chuyên gia / Thành viên 10 (Tùy chọn)</t>
        </is>
      </c>
      <c r="F78">
        <f>IF(ISBLANK(C78), "⚪ Tùy chọn (Trống)", "✅ Xong")</f>
        <v/>
      </c>
    </row>
    <row r="79">
      <c r="A79" s="7" t="inlineStr">
        <is>
          <t>SEC_G</t>
        </is>
      </c>
      <c r="B79" s="7" t="inlineStr">
        <is>
          <t>PHẦN G: SỐ VĂN BẢN, NGÀY KÝ, BỐI CẢNH &amp; LỊCH HỌP (TÙY CHỌN - ĐỂ TRỐNG SẼ GIỮ NGUYÊN DẤU CHẤM LỬNG)</t>
        </is>
      </c>
      <c r="C79" s="7" t="n"/>
      <c r="D79" s="7" t="n"/>
      <c r="E79" s="7" t="n"/>
    </row>
    <row r="80">
      <c r="A80" s="8" t="inlineStr">
        <is>
          <t>G01</t>
        </is>
      </c>
      <c r="B80" s="8" t="inlineStr">
        <is>
          <t>Bối cảnh / lý do triển khai đề tài (Điền nội dung hoặc để trống)</t>
        </is>
      </c>
      <c r="C80" s="8" t="n"/>
      <c r="D80" s="8" t="inlineStr">
        <is>
          <t>Token: {{BOI_CANH_DU_AN}}</t>
        </is>
      </c>
      <c r="E80" s="8" t="n"/>
      <c r="F80">
        <f>IF(ISBLANK(C80), "⚪ Tùy chọn (Trống)", "✅ Xong")</f>
        <v/>
      </c>
    </row>
    <row r="81">
      <c r="A81" s="8" t="inlineStr">
        <is>
          <t>G02</t>
        </is>
      </c>
      <c r="B81" s="8" t="inlineStr">
        <is>
          <t>Địa điểm họp Hội đồng (Tùy chọn - Để trống dùng địa chỉ Viện)</t>
        </is>
      </c>
      <c r="C81" s="8" t="n"/>
      <c r="D81" s="8" t="inlineStr">
        <is>
          <t>Token: {{DIA_DIEM_HOP}}</t>
        </is>
      </c>
      <c r="E81" s="8" t="n"/>
      <c r="F81">
        <f>IF(ISBLANK(C81), "⚪ Tùy chọn (Trống)", "✅ Xong")</f>
        <v/>
      </c>
    </row>
    <row r="82">
      <c r="A82" s="8" t="inlineStr">
        <is>
          <t>G03</t>
        </is>
      </c>
      <c r="B82" s="8" t="inlineStr">
        <is>
          <t>Thời gian họp chung (giờ, ngày tháng - Tùy chọn)</t>
        </is>
      </c>
      <c r="C82" s="8" t="n"/>
      <c r="D82" s="8" t="inlineStr">
        <is>
          <t>Token: {{THOI_GIAN_HOP}}</t>
        </is>
      </c>
      <c r="E82" s="8" t="n"/>
      <c r="F82">
        <f>IF(ISBLANK(C82), "⚪ Tùy chọn (Trống)", "✅ Xong")</f>
        <v/>
      </c>
    </row>
    <row r="83">
      <c r="A83" s="8" t="inlineStr">
        <is>
          <t>G04</t>
        </is>
      </c>
      <c r="B83" s="8" t="inlineStr">
        <is>
          <t>Số công văn mời chuyên gia (Tùy chọn)</t>
        </is>
      </c>
      <c r="C83" s="8" t="n"/>
      <c r="D83" s="8" t="inlineStr">
        <is>
          <t>Token: {{SO_CONG_VAN}}</t>
        </is>
      </c>
      <c r="E83" s="8" t="n"/>
      <c r="F83">
        <f>IF(ISBLANK(C83), "⚪ Tùy chọn (Trống)", "✅ Xong")</f>
        <v/>
      </c>
    </row>
    <row r="84">
      <c r="A84" s="8" t="inlineStr">
        <is>
          <t>G05</t>
        </is>
      </c>
      <c r="B84" s="8" t="inlineStr">
        <is>
          <t>Ngày ký công văn mời chuyên gia (Tùy chọn)</t>
        </is>
      </c>
      <c r="C84" s="9" t="n"/>
      <c r="D84" s="8" t="inlineStr">
        <is>
          <t>Định dạng: DD/MM/YYYY</t>
        </is>
      </c>
      <c r="E84" s="8" t="n"/>
      <c r="F84">
        <f>IF(ISBLANK(C84), "⚪ Tùy chọn (Trống)", "✅ Xong")</f>
        <v/>
      </c>
    </row>
    <row r="85">
      <c r="A85" s="8" t="inlineStr">
        <is>
          <t>G06</t>
        </is>
      </c>
      <c r="B85" s="8" t="inlineStr">
        <is>
          <t>Số Quyết định giao đề tài - Mẫu 00 (Tùy chọn)</t>
        </is>
      </c>
      <c r="C85" s="8" t="n"/>
      <c r="D85" s="8" t="inlineStr">
        <is>
          <t>Token: {{SO_QD_GIAO_DE_TAI}}</t>
        </is>
      </c>
      <c r="E85" s="8" t="n"/>
      <c r="F85">
        <f>IF(ISBLANK(C85), "⚪ Tùy chọn (Trống)", "✅ Xong")</f>
        <v/>
      </c>
    </row>
    <row r="86">
      <c r="A86" s="8" t="inlineStr">
        <is>
          <t>G07</t>
        </is>
      </c>
      <c r="B86" s="8" t="inlineStr">
        <is>
          <t>Ngày ký QĐ giao đề tài (Tùy chọn)</t>
        </is>
      </c>
      <c r="C86" s="9" t="n"/>
      <c r="D86" s="8" t="inlineStr">
        <is>
          <t>Định dạng: DD/MM/YYYY</t>
        </is>
      </c>
      <c r="E86" s="8" t="n"/>
      <c r="F86">
        <f>IF(ISBLANK(C86), "⚪ Tùy chọn (Trống)", "✅ Xong")</f>
        <v/>
      </c>
    </row>
    <row r="87">
      <c r="A87" s="8" t="inlineStr">
        <is>
          <t>G08</t>
        </is>
      </c>
      <c r="B87" s="8" t="inlineStr">
        <is>
          <t>Số QĐ TLHĐ Đạo đức - Mẫu 01 (Tùy chọn)</t>
        </is>
      </c>
      <c r="C87" s="8" t="n"/>
      <c r="D87" s="8" t="inlineStr">
        <is>
          <t>Token: {{SO_QD_TLHD_DAO_DUC}}</t>
        </is>
      </c>
      <c r="E87" s="8" t="n"/>
      <c r="F87">
        <f>IF(ISBLANK(C87), "⚪ Tùy chọn (Trống)", "✅ Xong")</f>
        <v/>
      </c>
    </row>
    <row r="88">
      <c r="A88" s="8" t="inlineStr">
        <is>
          <t>G09</t>
        </is>
      </c>
      <c r="B88" s="8" t="inlineStr">
        <is>
          <t>Ngày ký QĐ TLHĐ Đạo đức (Tùy chọn)</t>
        </is>
      </c>
      <c r="C88" s="9" t="n"/>
      <c r="D88" s="8" t="inlineStr">
        <is>
          <t>Định dạng: DD/MM/YYYY</t>
        </is>
      </c>
      <c r="E88" s="8" t="n"/>
      <c r="F88">
        <f>IF(ISBLANK(C88), "⚪ Tùy chọn (Trống)", "✅ Xong")</f>
        <v/>
      </c>
    </row>
    <row r="89">
      <c r="A89" s="8" t="inlineStr">
        <is>
          <t>G10</t>
        </is>
      </c>
      <c r="B89" s="8" t="inlineStr">
        <is>
          <t>Số QĐ TLHĐ Khoa học - Mẫu 05 (Tùy chọn)</t>
        </is>
      </c>
      <c r="C89" s="8" t="n"/>
      <c r="D89" s="8" t="inlineStr">
        <is>
          <t>Token: {{SO_QD_TLHD_KHOA_HOC}}</t>
        </is>
      </c>
      <c r="E89" s="8" t="n"/>
      <c r="F89">
        <f>IF(ISBLANK(C89), "⚪ Tùy chọn (Trống)", "✅ Xong")</f>
        <v/>
      </c>
    </row>
    <row r="90">
      <c r="A90" s="8" t="inlineStr">
        <is>
          <t>G11</t>
        </is>
      </c>
      <c r="B90" s="8" t="inlineStr">
        <is>
          <t>Ngày ký QĐ TLHĐ Khoa học (Tùy chọn)</t>
        </is>
      </c>
      <c r="C90" s="9" t="n"/>
      <c r="D90" s="8" t="inlineStr">
        <is>
          <t>Định dạng: DD/MM/YYYY</t>
        </is>
      </c>
      <c r="E90" s="8" t="n"/>
      <c r="F90">
        <f>IF(ISBLANK(C90), "⚪ Tùy chọn (Trống)", "✅ Xong")</f>
        <v/>
      </c>
    </row>
    <row r="91">
      <c r="A91" s="8" t="inlineStr">
        <is>
          <t>G12</t>
        </is>
      </c>
      <c r="B91" s="8" t="inlineStr">
        <is>
          <t>Số QĐ TLHĐ Nghiệm thu - Mẫu 9 (Tùy chọn)</t>
        </is>
      </c>
      <c r="C91" s="8" t="n"/>
      <c r="D91" s="8" t="inlineStr">
        <is>
          <t>Token: {{SO_QD_TLHD_NGHIEM_THU}}</t>
        </is>
      </c>
      <c r="E91" s="8" t="n"/>
      <c r="F91">
        <f>IF(ISBLANK(C91), "⚪ Tùy chọn (Trống)", "✅ Xong")</f>
        <v/>
      </c>
    </row>
    <row r="92">
      <c r="A92" s="8" t="inlineStr">
        <is>
          <t>G13</t>
        </is>
      </c>
      <c r="B92" s="8" t="inlineStr">
        <is>
          <t>Ngày ký QĐ TLHĐ Nghiệm thu (Tùy chọn)</t>
        </is>
      </c>
      <c r="C92" s="9" t="n"/>
      <c r="D92" s="8" t="inlineStr">
        <is>
          <t>Định dạng: DD/MM/YYYY</t>
        </is>
      </c>
      <c r="E92" s="8" t="n"/>
      <c r="F92">
        <f>IF(ISBLANK(C92), "⚪ Tùy chọn (Trống)", "✅ Xong")</f>
        <v/>
      </c>
    </row>
    <row r="93">
      <c r="A93" s="8" t="inlineStr">
        <is>
          <t>G14</t>
        </is>
      </c>
      <c r="B93" s="8" t="inlineStr">
        <is>
          <t>Số QĐ Phê duyệt đề tài - Mẫu 08 (Tùy chọn)</t>
        </is>
      </c>
      <c r="C93" s="8" t="n"/>
      <c r="D93" s="8" t="inlineStr">
        <is>
          <t>Token: {{SO_QD_PHE_DUYET}}</t>
        </is>
      </c>
      <c r="E93" s="8" t="n"/>
      <c r="F93">
        <f>IF(ISBLANK(C93), "⚪ Tùy chọn (Trống)", "✅ Xong")</f>
        <v/>
      </c>
    </row>
    <row r="94">
      <c r="A94" s="8" t="inlineStr">
        <is>
          <t>G15</t>
        </is>
      </c>
      <c r="B94" s="8" t="inlineStr">
        <is>
          <t>Ngày ký QĐ Phê duyệt đề tài (Tùy chọn)</t>
        </is>
      </c>
      <c r="C94" s="9" t="n"/>
      <c r="D94" s="8" t="inlineStr">
        <is>
          <t>Định dạng: DD/MM/YYYY</t>
        </is>
      </c>
      <c r="E94" s="8" t="n"/>
      <c r="F94">
        <f>IF(ISBLANK(C94), "⚪ Tùy chọn (Trống)", "✅ Xong")</f>
        <v/>
      </c>
    </row>
    <row r="95">
      <c r="A95" s="8" t="inlineStr">
        <is>
          <t>G16</t>
        </is>
      </c>
      <c r="B95" s="8" t="inlineStr">
        <is>
          <t>Số QĐ Công nhận kết quả - Mẫu 12 (Tùy chọn)</t>
        </is>
      </c>
      <c r="C95" s="8" t="n"/>
      <c r="D95" s="8" t="inlineStr">
        <is>
          <t>Token: {{SO_QD_CONG_NHAN}}</t>
        </is>
      </c>
      <c r="E95" s="8" t="n"/>
      <c r="F95">
        <f>IF(ISBLANK(C95), "⚪ Tùy chọn (Trống)", "✅ Xong")</f>
        <v/>
      </c>
    </row>
    <row r="96">
      <c r="A96" s="8" t="inlineStr">
        <is>
          <t>G17</t>
        </is>
      </c>
      <c r="B96" s="8" t="inlineStr">
        <is>
          <t>Ngày ký QĐ Công nhận kết quả (Tùy chọn)</t>
        </is>
      </c>
      <c r="C96" s="9" t="n"/>
      <c r="D96" s="8" t="inlineStr">
        <is>
          <t>Định dạng: DD/MM/YYYY</t>
        </is>
      </c>
      <c r="E96" s="8" t="n"/>
      <c r="F96">
        <f>IF(ISBLANK(C96), "⚪ Tùy chọn (Trống)", "✅ Xong")</f>
        <v/>
      </c>
    </row>
    <row r="97">
      <c r="A97" s="8" t="inlineStr">
        <is>
          <t>G18</t>
        </is>
      </c>
      <c r="B97" s="8" t="inlineStr">
        <is>
          <t>Ngày họp HĐ Đạo đức - Mẫu 02, 03 (Tùy chọn)</t>
        </is>
      </c>
      <c r="C97" s="9" t="n"/>
      <c r="D97" s="8" t="inlineStr">
        <is>
          <t>Định dạng: DD/MM/YYYY</t>
        </is>
      </c>
      <c r="E97" s="8" t="n"/>
      <c r="F97">
        <f>IF(ISBLANK(C97), "⚪ Tùy chọn (Trống)", "✅ Xong")</f>
        <v/>
      </c>
    </row>
    <row r="98">
      <c r="A98" s="8" t="inlineStr">
        <is>
          <t>G19</t>
        </is>
      </c>
      <c r="B98" s="8" t="inlineStr">
        <is>
          <t>Ngày họp HĐ Khoa học - Mẫu 06, 07 (Tùy chọn)</t>
        </is>
      </c>
      <c r="C98" s="9" t="n"/>
      <c r="D98" s="8" t="inlineStr">
        <is>
          <t>Định dạng: DD/MM/YYYY</t>
        </is>
      </c>
      <c r="E98" s="8" t="n"/>
      <c r="F98">
        <f>IF(ISBLANK(C98), "⚪ Tùy chọn (Trống)", "✅ Xong")</f>
        <v/>
      </c>
    </row>
    <row r="99">
      <c r="A99" s="8" t="inlineStr">
        <is>
          <t>G20</t>
        </is>
      </c>
      <c r="B99" s="8" t="inlineStr">
        <is>
          <t>Ngày họp HĐ Nghiệm thu - Mẫu 10, 11 (Tùy chọn)</t>
        </is>
      </c>
      <c r="C99" s="9" t="n"/>
      <c r="D99" s="8" t="inlineStr">
        <is>
          <t>Định dạng: DD/MM/YYYY</t>
        </is>
      </c>
      <c r="E99" s="8" t="n"/>
      <c r="F99">
        <f>IF(ISBLANK(C99), "⚪ Tùy chọn (Trống)", "✅ Xong")</f>
        <v/>
      </c>
    </row>
  </sheetData>
  <mergeCells count="2">
    <mergeCell ref="A2:F2"/>
    <mergeCell ref="A1:F1"/>
  </mergeCells>
  <dataValidations count="6">
    <dataValidation sqref="C7" showDropDown="0" showInputMessage="0" showErrorMessage="0" allowBlank="1" type="list">
      <formula1>"Nghiên cứu can thiệp,Nghiên cứu quan sát,Thử nghiệm lâm sàng,Đánh giá hiệu quả công thức,Khác"</formula1>
    </dataValidation>
    <dataValidation sqref="C84 C86 C88 C90 C92 C94 C96 C97 C98 C99" showDropDown="0" showInputMessage="1" showErrorMessage="1" allowBlank="1" errorTitle="Sai định dạng ngày" error="Vui lòng nhập ngày hợp lệ (VD: 15/03/2027 hoặc chọn từ lịch)" promptTitle="Nhập ngày" prompt="Định dạng ngày: DD/MM/YYYY" type="date" operator="greaterThanOrEqual">
      <formula1>DATE(1900,1,1)</formula1>
    </dataValidation>
    <dataValidation sqref="C19 C20 C21 C22 C23 C24 C25 C26 C27 C28 C29 C30 C31 C32 C33 C34 C37 C38 C39 C40 C41 C42 C43 C44 C45 C48 C49 C50 C51 C52 C53 C54 C55 C56 C59 C60 C61 C62 C63 C64 C65 C66 C67" showDropDown="0" showInputMessage="0" showErrorMessage="0" allowBlank="1" type="list">
      <formula1>='_NhanSu'!$A$2:$A$16</formula1>
    </dataValidation>
    <dataValidation sqref="A6 A7 A8 A9 A10 A11 A12 A13 A15 A16 A17 A18 A19 A20 A21 A22 A23 A24 A25 A26 A27 A28 A29 A30 A31 A32 A33 A34 A36 A37 A38 A39 A40 A41 A42 A43 A44 A45 A47 A48 A49 A50 A51 A52 A53 A54 A55 A56 A58 A59" showDropDown="0" showInputMessage="0" showErrorMessage="0" allowBlank="1" type="list">
      <formula1>='_Tokens'!$A$2:$A$49</formula1>
    </dataValidation>
    <dataValidation sqref="C3" showDropDown="0" showInputMessage="0" showErrorMessage="0" allowBlank="1" type="list">
      <formula1>='_BoHoSo'!$A$2:$A$8</formula1>
    </dataValidation>
    <dataValidation sqref="D19 D20 D21 D22 D23 D24 D25 D26 D27 D28 D29 D30 D31 D32 D33 D34 D37 D38 D39 D40 D41 D42 D43 D44 D45 D48 D49 D50 D51 D52 D53 D54 D55 D56 D59 D60 D61 D62 D63 D64 D65 D66 D67" showDropDown="0" showInputMessage="0" showErrorMessage="0" allowBlank="1" type="list">
      <formula1>"GS.TS.,PGS.TS.,TS.,ThS.,BS.CKII,BS.CKI,BS.,CN.,DS."</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J16"/>
  <sheetViews>
    <sheetView workbookViewId="0">
      <selection activeCell="A1" sqref="A1"/>
    </sheetView>
  </sheetViews>
  <sheetFormatPr baseColWidth="8" defaultRowHeight="15"/>
  <sheetData>
    <row r="1">
      <c r="A1" t="inlineStr">
        <is>
          <t>ten</t>
        </is>
      </c>
      <c r="B1" t="inlineStr">
        <is>
          <t>hoc_ham_hoc_vi</t>
        </is>
      </c>
      <c r="C1" t="inlineStr">
        <is>
          <t>don_vi</t>
        </is>
      </c>
      <c r="D1" t="inlineStr">
        <is>
          <t>dia_chi</t>
        </is>
      </c>
      <c r="E1" t="inlineStr">
        <is>
          <t>sdt</t>
        </is>
      </c>
      <c r="F1" t="inlineStr">
        <is>
          <t>email</t>
        </is>
      </c>
      <c r="G1" t="inlineStr">
        <is>
          <t>cccd</t>
        </is>
      </c>
      <c r="H1" t="inlineStr">
        <is>
          <t>mst</t>
        </is>
      </c>
      <c r="I1" t="inlineStr">
        <is>
          <t>so_tk</t>
        </is>
      </c>
      <c r="J1" t="inlineStr">
        <is>
          <t>ngan_hang</t>
        </is>
      </c>
    </row>
    <row r="2">
      <c r="A2" t="inlineStr">
        <is>
          <t>Trương Hồng Sơn</t>
        </is>
      </c>
      <c r="B2" t="inlineStr">
        <is>
          <t>TS.BS.</t>
        </is>
      </c>
      <c r="C2" t="inlineStr">
        <is>
          <t>Viện trưởng - Viện Y học Ứng dụng VN</t>
        </is>
      </c>
    </row>
    <row r="3">
      <c r="A3" t="inlineStr">
        <is>
          <t>Lưu Liên Hương</t>
        </is>
      </c>
      <c r="B3" t="inlineStr">
        <is>
          <t>Thạc sĩ</t>
        </is>
      </c>
      <c r="C3" t="inlineStr">
        <is>
          <t>Trung tâm NCKH - Viện VIAM</t>
        </is>
      </c>
    </row>
    <row r="4">
      <c r="A4" t="inlineStr">
        <is>
          <t>Lê Việt Anh</t>
        </is>
      </c>
      <c r="B4" t="inlineStr">
        <is>
          <t>Thạc sĩ</t>
        </is>
      </c>
      <c r="C4" t="inlineStr">
        <is>
          <t>Trung tâm NCKH - Viện VIAM</t>
        </is>
      </c>
    </row>
    <row r="5">
      <c r="A5" t="inlineStr">
        <is>
          <t>Lê Minh Khánh</t>
        </is>
      </c>
      <c r="B5" t="inlineStr">
        <is>
          <t>Bác sĩ</t>
        </is>
      </c>
      <c r="C5" t="inlineStr">
        <is>
          <t>Phòng khám VIAM</t>
        </is>
      </c>
    </row>
    <row r="6">
      <c r="A6" t="inlineStr">
        <is>
          <t>Nguyễn Công Khẩn</t>
        </is>
      </c>
      <c r="B6" t="inlineStr">
        <is>
          <t>GS.TS.</t>
        </is>
      </c>
      <c r="C6" t="inlineStr">
        <is>
          <t>Hội đồng Đạo đức Y sinh Quốc gia</t>
        </is>
      </c>
    </row>
    <row r="7">
      <c r="A7" t="inlineStr">
        <is>
          <t>Nguyễn Xuân Ninh</t>
        </is>
      </c>
      <c r="B7" t="inlineStr">
        <is>
          <t>PGS.TS.BS.</t>
        </is>
      </c>
      <c r="C7" t="inlineStr">
        <is>
          <t>Viện Y học Ứng dụng Việt Nam</t>
        </is>
      </c>
    </row>
    <row r="8">
      <c r="A8" t="inlineStr">
        <is>
          <t>Lê Bạch Mai</t>
        </is>
      </c>
      <c r="B8" t="inlineStr">
        <is>
          <t>PGS.TS.BS.</t>
        </is>
      </c>
      <c r="C8" t="inlineStr">
        <is>
          <t>Nguyên Phó Viện trưởng Viện Dinh dưỡng QG</t>
        </is>
      </c>
    </row>
    <row r="9">
      <c r="A9" t="inlineStr">
        <is>
          <t>Nguyễn Thị Lâm</t>
        </is>
      </c>
      <c r="B9" t="inlineStr">
        <is>
          <t>PGS.TS.BS.</t>
        </is>
      </c>
      <c r="C9" t="inlineStr">
        <is>
          <t>Nguyên Phó Viện trưởng Viện Dinh dưỡng QG</t>
        </is>
      </c>
    </row>
    <row r="10">
      <c r="A10" t="inlineStr">
        <is>
          <t>Nguyễn Quang Dũng</t>
        </is>
      </c>
      <c r="B10" t="inlineStr">
        <is>
          <t>PGS.TS.BS.</t>
        </is>
      </c>
      <c r="C10" t="inlineStr">
        <is>
          <t>Bộ môn Dinh dưỡng - ĐH Y Hà Nội</t>
        </is>
      </c>
    </row>
    <row r="11">
      <c r="A11" t="inlineStr">
        <is>
          <t>Hoàng Hà Linh</t>
        </is>
      </c>
      <c r="B11" t="inlineStr">
        <is>
          <t>Thạc sĩ</t>
        </is>
      </c>
      <c r="C11" t="inlineStr">
        <is>
          <t>Trung tâm NCKH - Viện VIAM</t>
        </is>
      </c>
    </row>
    <row r="12">
      <c r="A12" t="inlineStr">
        <is>
          <t>Trương Phan Hồng Hà</t>
        </is>
      </c>
      <c r="B12" t="inlineStr">
        <is>
          <t>Thạc sĩ</t>
        </is>
      </c>
      <c r="C12" t="inlineStr">
        <is>
          <t>Viện Y học Ứng dụng Việt Nam</t>
        </is>
      </c>
    </row>
    <row r="13">
      <c r="A13" t="inlineStr">
        <is>
          <t>Trần Quang Trung</t>
        </is>
      </c>
      <c r="B13" t="inlineStr">
        <is>
          <t>PGS.TS.</t>
        </is>
      </c>
      <c r="C13" t="inlineStr">
        <is>
          <t>Hiệp hội Sữa Việt Nam</t>
        </is>
      </c>
    </row>
    <row r="14">
      <c r="A14" t="inlineStr">
        <is>
          <t>Phạm Văn Hoàn</t>
        </is>
      </c>
      <c r="B14" t="inlineStr">
        <is>
          <t>PGS.TS.</t>
        </is>
      </c>
      <c r="C14" t="inlineStr">
        <is>
          <t>Viện Y học Ứng dụng Việt Nam</t>
        </is>
      </c>
    </row>
    <row r="15">
      <c r="A15" t="inlineStr">
        <is>
          <t>Ninh Thị Nhung</t>
        </is>
      </c>
      <c r="B15" t="inlineStr">
        <is>
          <t>PGS.TS.</t>
        </is>
      </c>
      <c r="C15" t="inlineStr">
        <is>
          <t>Trường Đại học Y Dược Thái Bình</t>
        </is>
      </c>
    </row>
    <row r="16">
      <c r="A16" t="inlineStr">
        <is>
          <t>Trần Văn Ơn</t>
        </is>
      </c>
      <c r="B16" t="inlineStr">
        <is>
          <t>PGS.TS.</t>
        </is>
      </c>
      <c r="C16" t="inlineStr">
        <is>
          <t>Trường Đại học Dược Hà Nội</t>
        </is>
      </c>
    </row>
  </sheetData>
  <dataValidations count="1">
    <dataValidation sqref="A6 A7 A8 A9 A10 A11 A12 A13 A14 A15 A16 A17 A18 A19 A20 A21 A22 A23 A24 A25 A26 A27 A28 A29 A30 A31 A32 A33 A34 A35 A36 A37 A38 A39 A40 A41 A42 A43 A44 A45 A46 A47 A48 A49 A50 A51 A52 A53 A54 A55 A56 A57 A58 A59 A60 A61 A62 A63 A64 A65 A66 A67 A68 A69 A70 A71 A72 A73 A74 A75 A76 A77 A78 A79 A80 A81 A82 A83 A84 A85 A86 A87 A88 A89 A90 A91 A92 A93 A94 A95 A96 A97 A98 A99 A100 A101 A102 A103 A104 A105 A106 A107 A108 A109 A110 A111 A112 A113 A114 A115 A116 A117 A118 A119 A120 A121 A122 A123 A124 A125 A126 A127 A128 A129 A130 A131 A132 A133 A134 A135 A136 A137 A138 A139 A140 A141 A142 A143 A144 A145 A146 A147 A148 A149" showDropDown="0" showInputMessage="0" showErrorMessage="0" allowBlank="1" type="list">
      <formula1>_Tokens!$A$2:$A$100</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49"/>
  <sheetViews>
    <sheetView workbookViewId="0">
      <selection activeCell="A1" sqref="A1"/>
    </sheetView>
  </sheetViews>
  <sheetFormatPr baseColWidth="8" defaultRowHeight="15"/>
  <sheetData>
    <row r="1">
      <c r="A1" t="inlineStr">
        <is>
          <t>TOKEN_TAG</t>
        </is>
      </c>
      <c r="B1" t="inlineStr">
        <is>
          <t>MÃ_MỤC</t>
        </is>
      </c>
      <c r="C1" t="inlineStr">
        <is>
          <t>MÔ_TẢ</t>
        </is>
      </c>
    </row>
    <row r="2">
      <c r="A2" t="inlineStr">
        <is>
          <t>{{TEN_DE_TAI}}</t>
        </is>
      </c>
      <c r="B2" t="inlineStr">
        <is>
          <t>A01</t>
        </is>
      </c>
      <c r="C2" t="inlineStr">
        <is>
          <t>Tên đề tài nghiên cứu</t>
        </is>
      </c>
    </row>
    <row r="3">
      <c r="A3" t="inlineStr">
        <is>
          <t>{{NAM}}</t>
        </is>
      </c>
      <c r="B3" t="inlineStr">
        <is>
          <t>A03</t>
        </is>
      </c>
      <c r="C3" t="inlineStr">
        <is>
          <t>Năm thực hiện hồ sơ</t>
        </is>
      </c>
    </row>
    <row r="4">
      <c r="A4" t="inlineStr">
        <is>
          <t>{{DON_VI_CHU_TRI}}</t>
        </is>
      </c>
      <c r="B4" t="inlineStr">
        <is>
          <t>A04</t>
        </is>
      </c>
      <c r="C4" t="inlineStr">
        <is>
          <t>Cơ quan chủ trì</t>
        </is>
      </c>
    </row>
    <row r="5">
      <c r="A5" t="inlineStr">
        <is>
          <t>{{DON_VI_DOI_TAC}}</t>
        </is>
      </c>
      <c r="B5" t="inlineStr">
        <is>
          <t>A06</t>
        </is>
      </c>
      <c r="C5" t="inlineStr">
        <is>
          <t>Cơ quan phối hợp (tùy chọn)</t>
        </is>
      </c>
    </row>
    <row r="6">
      <c r="A6" t="inlineStr">
        <is>
          <t>{{THOI_GIAN_BAT_DAU}}</t>
        </is>
      </c>
      <c r="B6" t="inlineStr">
        <is>
          <t>A05</t>
        </is>
      </c>
      <c r="C6" t="inlineStr">
        <is>
          <t>Mốc thời gian bắt đầu (MM/YYYY)</t>
        </is>
      </c>
    </row>
    <row r="7">
      <c r="A7" t="inlineStr">
        <is>
          <t>{{THOI_GIAN_KET_THUC}}</t>
        </is>
      </c>
      <c r="B7" t="inlineStr">
        <is>
          <t>A05</t>
        </is>
      </c>
      <c r="C7" t="inlineStr">
        <is>
          <t>Mốc thời gian kết thúc (MM/YYYY)</t>
        </is>
      </c>
    </row>
    <row r="8">
      <c r="A8" t="inlineStr">
        <is>
          <t>{{DIA_DIEM_TRIEN_KHAI}}</t>
        </is>
      </c>
      <c r="B8" t="inlineStr">
        <is>
          <t>A07</t>
        </is>
      </c>
      <c r="C8" t="inlineStr">
        <is>
          <t>Địa điểm triển khai nghiên cứu</t>
        </is>
      </c>
    </row>
    <row r="9">
      <c r="A9" t="inlineStr">
        <is>
          <t>{{DAU_MOI_LIEN_HE}}</t>
        </is>
      </c>
      <c r="B9" t="inlineStr">
        <is>
          <t>A08</t>
        </is>
      </c>
      <c r="C9" t="inlineStr">
        <is>
          <t>Đầu mối liên hệ thư mời</t>
        </is>
      </c>
    </row>
    <row r="10">
      <c r="A10" t="inlineStr">
        <is>
          <t>{{CHU_NHIEM_HO_TEN}}</t>
        </is>
      </c>
      <c r="B10" t="inlineStr">
        <is>
          <t>B01</t>
        </is>
      </c>
      <c r="C10" t="inlineStr">
        <is>
          <t>Họ tên Chủ nhiệm đề tài</t>
        </is>
      </c>
    </row>
    <row r="11">
      <c r="A11" t="inlineStr">
        <is>
          <t>{{CHU_NHIEM_TEN}}</t>
        </is>
      </c>
      <c r="B11" t="inlineStr">
        <is>
          <t>B01</t>
        </is>
      </c>
      <c r="C11" t="inlineStr">
        <is>
          <t>Tên riêng Chủ nhiệm đề tài</t>
        </is>
      </c>
    </row>
    <row r="12">
      <c r="A12" t="inlineStr">
        <is>
          <t>{{CHU_NHIEM_DON_VI}}</t>
        </is>
      </c>
      <c r="B12" t="inlineStr">
        <is>
          <t>B01</t>
        </is>
      </c>
      <c r="C12" t="inlineStr">
        <is>
          <t>Đơn vị công tác Chủ nhiệm đề tài</t>
        </is>
      </c>
    </row>
    <row r="13">
      <c r="A13" t="inlineStr">
        <is>
          <t>{{DONG_CHU_NHIEM_HO_TEN}}</t>
        </is>
      </c>
      <c r="B13" t="inlineStr">
        <is>
          <t>B02</t>
        </is>
      </c>
      <c r="C13" t="inlineStr">
        <is>
          <t>Họ tên Đồng chủ nhiệm đề tài</t>
        </is>
      </c>
    </row>
    <row r="14">
      <c r="A14" t="inlineStr">
        <is>
          <t>{{THU_KY_DE_TAI}}</t>
        </is>
      </c>
      <c r="B14" t="inlineStr">
        <is>
          <t>B03</t>
        </is>
      </c>
      <c r="C14" t="inlineStr">
        <is>
          <t>Họ tên Thư ký đề tài</t>
        </is>
      </c>
    </row>
    <row r="15">
      <c r="A15" t="inlineStr">
        <is>
          <t>{{DANH_SACH_NGHIEN_CUU_VIEN}}</t>
        </is>
      </c>
      <c r="B15" t="inlineStr">
        <is>
          <t>B04-B20</t>
        </is>
      </c>
      <c r="C15" t="inlineStr">
        <is>
          <t>Danh sách nghiên cứu viên (có đánh số)</t>
        </is>
      </c>
    </row>
    <row r="16">
      <c r="A16" t="inlineStr">
        <is>
          <t>{{NGHIEN_CUU_VIEN_1}}</t>
        </is>
      </c>
      <c r="B16" t="inlineStr">
        <is>
          <t>B04</t>
        </is>
      </c>
      <c r="C16" t="inlineStr">
        <is>
          <t>Nghiên cứu viên 1 - Họ tên có học vị</t>
        </is>
      </c>
    </row>
    <row r="17">
      <c r="A17" t="inlineStr">
        <is>
          <t>{{NGHIEN_CUU_VIEN_1_TEN}}</t>
        </is>
      </c>
      <c r="B17" t="inlineStr">
        <is>
          <t>B04</t>
        </is>
      </c>
      <c r="C17" t="inlineStr">
        <is>
          <t>Nghiên cứu viên 1 - Chỉ họ tên</t>
        </is>
      </c>
    </row>
    <row r="18">
      <c r="A18" t="inlineStr">
        <is>
          <t>{{NGHIEN_CUU_VIEN_1_DON_VI}}</t>
        </is>
      </c>
      <c r="B18" t="inlineStr">
        <is>
          <t>B04</t>
        </is>
      </c>
      <c r="C18" t="inlineStr">
        <is>
          <t>Nghiên cứu viên 1 - Đơn vị công tác</t>
        </is>
      </c>
    </row>
    <row r="19">
      <c r="A19" t="inlineStr">
        <is>
          <t>{{NGHIEN_CUU_VIEN_2}}</t>
        </is>
      </c>
      <c r="B19" t="inlineStr">
        <is>
          <t>B05</t>
        </is>
      </c>
      <c r="C19" t="inlineStr">
        <is>
          <t>Nghiên cứu viên 2 - Họ tên có học vị</t>
        </is>
      </c>
    </row>
    <row r="20">
      <c r="A20" t="inlineStr">
        <is>
          <t>{{NGHIEN_CUU_VIEN_2_TEN}}</t>
        </is>
      </c>
      <c r="B20" t="inlineStr">
        <is>
          <t>B05</t>
        </is>
      </c>
      <c r="C20" t="inlineStr">
        <is>
          <t>Nghiên cứu viên 2 - Chỉ họ tên</t>
        </is>
      </c>
    </row>
    <row r="21">
      <c r="A21" t="inlineStr">
        <is>
          <t>{{NGHIEN_CUU_VIEN_2_DON_VI}}</t>
        </is>
      </c>
      <c r="B21" t="inlineStr">
        <is>
          <t>B05</t>
        </is>
      </c>
      <c r="C21" t="inlineStr">
        <is>
          <t>Nghiên cứu viên 2 - Đơn vị công tác</t>
        </is>
      </c>
    </row>
    <row r="22">
      <c r="A22" t="inlineStr">
        <is>
          <t>{{NGHIEN_CUU_VIEN_3}}</t>
        </is>
      </c>
      <c r="B22" t="inlineStr">
        <is>
          <t>B06</t>
        </is>
      </c>
      <c r="C22" t="inlineStr">
        <is>
          <t>Nghiên cứu viên 3 - Họ tên có học vị</t>
        </is>
      </c>
    </row>
    <row r="23">
      <c r="A23" t="inlineStr">
        <is>
          <t>{{NGHIEN_CUU_VIEN_3_TEN}}</t>
        </is>
      </c>
      <c r="B23" t="inlineStr">
        <is>
          <t>B06</t>
        </is>
      </c>
      <c r="C23" t="inlineStr">
        <is>
          <t>Nghiên cứu viên 3 - Chỉ họ tên</t>
        </is>
      </c>
    </row>
    <row r="24">
      <c r="A24" t="inlineStr">
        <is>
          <t>{{NGHIEN_CUU_VIEN_3_DON_VI}}</t>
        </is>
      </c>
      <c r="B24" t="inlineStr">
        <is>
          <t>B06</t>
        </is>
      </c>
      <c r="C24" t="inlineStr">
        <is>
          <t>Nghiên cứu viên 3 - Đơn vị công tác</t>
        </is>
      </c>
    </row>
    <row r="25">
      <c r="A25" t="inlineStr">
        <is>
          <t>{{NGHIEN_CUU_VIEN_4}}</t>
        </is>
      </c>
      <c r="B25" t="inlineStr">
        <is>
          <t>B07</t>
        </is>
      </c>
      <c r="C25" t="inlineStr">
        <is>
          <t>Nghiên cứu viên 4 - Họ tên có học vị</t>
        </is>
      </c>
    </row>
    <row r="26">
      <c r="A26" t="inlineStr">
        <is>
          <t>{{NGHIEN_CUU_VIEN_5}}</t>
        </is>
      </c>
      <c r="B26" t="inlineStr">
        <is>
          <t>B08</t>
        </is>
      </c>
      <c r="C26" t="inlineStr">
        <is>
          <t>Nghiên cứu viên 5 - Họ tên có học vị</t>
        </is>
      </c>
    </row>
    <row r="27">
      <c r="A27" t="inlineStr">
        <is>
          <t>{{CHU_TICH_HD_DAO_DUC}}</t>
        </is>
      </c>
      <c r="B27" t="inlineStr">
        <is>
          <t>C01</t>
        </is>
      </c>
      <c r="C27" t="inlineStr">
        <is>
          <t>Chủ tịch HĐ Đạo đức</t>
        </is>
      </c>
    </row>
    <row r="28">
      <c r="A28" t="inlineStr">
        <is>
          <t>{{CHU_TICH_HD_KHOA_HOC}}</t>
        </is>
      </c>
      <c r="B28" t="inlineStr">
        <is>
          <t>D01</t>
        </is>
      </c>
      <c r="C28" t="inlineStr">
        <is>
          <t>Chủ tịch HĐ Khoa học</t>
        </is>
      </c>
    </row>
    <row r="29">
      <c r="A29" t="inlineStr">
        <is>
          <t>{{CHU_TICH_HD_NGHIEM_THU}}</t>
        </is>
      </c>
      <c r="B29" t="inlineStr">
        <is>
          <t>E01</t>
        </is>
      </c>
      <c r="C29" t="inlineStr">
        <is>
          <t>Chủ tịch HĐ Nghiệm thu</t>
        </is>
      </c>
    </row>
    <row r="30">
      <c r="A30" t="inlineStr">
        <is>
          <t>{{BOI_CANH_DU_AN}}</t>
        </is>
      </c>
      <c r="B30" t="inlineStr">
        <is>
          <t>G01</t>
        </is>
      </c>
      <c r="C30" t="inlineStr">
        <is>
          <t>Bối cảnh / lý do triển khai đề tài</t>
        </is>
      </c>
    </row>
    <row r="31">
      <c r="A31" t="inlineStr">
        <is>
          <t>{{DIA_DIEM_HOP}}</t>
        </is>
      </c>
      <c r="B31" t="inlineStr">
        <is>
          <t>G02</t>
        </is>
      </c>
      <c r="C31" t="inlineStr">
        <is>
          <t>Địa điểm họp Hội đồng</t>
        </is>
      </c>
    </row>
    <row r="32">
      <c r="A32" t="inlineStr">
        <is>
          <t>{{THOI_GIAN_HOP}}</t>
        </is>
      </c>
      <c r="B32" t="inlineStr">
        <is>
          <t>G03</t>
        </is>
      </c>
      <c r="C32" t="inlineStr">
        <is>
          <t>Thời gian họp Hội đồng (giờ, ngày tháng)</t>
        </is>
      </c>
    </row>
    <row r="33">
      <c r="A33" t="inlineStr">
        <is>
          <t>{{SO_CONG_VAN}}</t>
        </is>
      </c>
      <c r="B33" t="inlineStr">
        <is>
          <t>G04</t>
        </is>
      </c>
      <c r="C33" t="inlineStr">
        <is>
          <t>Số công văn mời chuyên gia</t>
        </is>
      </c>
    </row>
    <row r="34">
      <c r="A34" t="inlineStr">
        <is>
          <t>{{NGAY_CONG_VAN}}</t>
        </is>
      </c>
      <c r="B34" t="inlineStr">
        <is>
          <t>G05</t>
        </is>
      </c>
      <c r="C34" t="inlineStr">
        <is>
          <t>Ngày ký công văn mời chuyên gia</t>
        </is>
      </c>
    </row>
    <row r="35">
      <c r="A35" t="inlineStr">
        <is>
          <t>{{SO_QD_GIAO_DE_TAI}}</t>
        </is>
      </c>
      <c r="B35" t="inlineStr">
        <is>
          <t>G06</t>
        </is>
      </c>
      <c r="C35" t="inlineStr">
        <is>
          <t>Số Quyết định giao đề tài (00)</t>
        </is>
      </c>
    </row>
    <row r="36">
      <c r="A36" t="inlineStr">
        <is>
          <t>{{NGAY_QD_GIAO_DE_TAI}}</t>
        </is>
      </c>
      <c r="B36" t="inlineStr">
        <is>
          <t>G07</t>
        </is>
      </c>
      <c r="C36" t="inlineStr">
        <is>
          <t>Ngày ký QĐ giao đề tài</t>
        </is>
      </c>
    </row>
    <row r="37">
      <c r="A37" t="inlineStr">
        <is>
          <t>{{SO_QD_TLHD_DAO_DUC}}</t>
        </is>
      </c>
      <c r="B37" t="inlineStr">
        <is>
          <t>G08</t>
        </is>
      </c>
      <c r="C37" t="inlineStr">
        <is>
          <t>Số QĐ TLHĐ Đạo đức (01)</t>
        </is>
      </c>
    </row>
    <row r="38">
      <c r="A38" t="inlineStr">
        <is>
          <t>{{NGAY_QD_TLHD_DAO_DUC}}</t>
        </is>
      </c>
      <c r="B38" t="inlineStr">
        <is>
          <t>G09</t>
        </is>
      </c>
      <c r="C38" t="inlineStr">
        <is>
          <t>Ngày ký QĐ TLHĐ Đạo đức</t>
        </is>
      </c>
    </row>
    <row r="39">
      <c r="A39" t="inlineStr">
        <is>
          <t>{{SO_QD_TLHD_KHOA_HOC}}</t>
        </is>
      </c>
      <c r="B39" t="inlineStr">
        <is>
          <t>G10</t>
        </is>
      </c>
      <c r="C39" t="inlineStr">
        <is>
          <t>Số QĐ TLHĐ Khoa học (05)</t>
        </is>
      </c>
    </row>
    <row r="40">
      <c r="A40" t="inlineStr">
        <is>
          <t>{{NGAY_QD_TLHD_KHOA_HOC}}</t>
        </is>
      </c>
      <c r="B40" t="inlineStr">
        <is>
          <t>G11</t>
        </is>
      </c>
      <c r="C40" t="inlineStr">
        <is>
          <t>Ngày ký QĐ TLHĐ Khoa học</t>
        </is>
      </c>
    </row>
    <row r="41">
      <c r="A41" t="inlineStr">
        <is>
          <t>{{SO_QD_TLHD_PHE_DUYET}}</t>
        </is>
      </c>
      <c r="B41" t="inlineStr">
        <is>
          <t>G14</t>
        </is>
      </c>
      <c r="C41" t="inlineStr">
        <is>
          <t>Số QĐ Phê duyệt đề tài (08)</t>
        </is>
      </c>
    </row>
    <row r="42">
      <c r="A42" t="inlineStr">
        <is>
          <t>{{NGAY_QD_PHE_DUYET}}</t>
        </is>
      </c>
      <c r="B42" t="inlineStr">
        <is>
          <t>G15</t>
        </is>
      </c>
      <c r="C42" t="inlineStr">
        <is>
          <t>Ngày ký QĐ Phê duyệt đề tài</t>
        </is>
      </c>
    </row>
    <row r="43">
      <c r="A43" t="inlineStr">
        <is>
          <t>{{SO_QD_TLHD_NGHIEM_THU}}</t>
        </is>
      </c>
      <c r="B43" t="inlineStr">
        <is>
          <t>G12</t>
        </is>
      </c>
      <c r="C43" t="inlineStr">
        <is>
          <t>Số QĐ TLHĐ Nghiệm thu (9)</t>
        </is>
      </c>
    </row>
    <row r="44">
      <c r="A44" t="inlineStr">
        <is>
          <t>{{NGAY_QD_TLHD_NGHIEM_THU}}</t>
        </is>
      </c>
      <c r="B44" t="inlineStr">
        <is>
          <t>G13</t>
        </is>
      </c>
      <c r="C44" t="inlineStr">
        <is>
          <t>Ngày ký QĐ TLHĐ Nghiệm thu</t>
        </is>
      </c>
    </row>
    <row r="45">
      <c r="A45" t="inlineStr">
        <is>
          <t>{{SO_QD_CONG_NHAN}}</t>
        </is>
      </c>
      <c r="B45" t="inlineStr">
        <is>
          <t>G16</t>
        </is>
      </c>
      <c r="C45" t="inlineStr">
        <is>
          <t>Số QĐ Công nhận kết quả (12)</t>
        </is>
      </c>
    </row>
    <row r="46">
      <c r="A46" t="inlineStr">
        <is>
          <t>{{NGAY_QD_CONG_NHAN}}</t>
        </is>
      </c>
      <c r="B46" t="inlineStr">
        <is>
          <t>G17</t>
        </is>
      </c>
      <c r="C46" t="inlineStr">
        <is>
          <t>Ngày ký QĐ Công nhận kết quả</t>
        </is>
      </c>
    </row>
    <row r="47">
      <c r="A47" t="inlineStr">
        <is>
          <t>{{NGAY_HOP_DAO_DUC}}</t>
        </is>
      </c>
      <c r="B47" t="inlineStr">
        <is>
          <t>G18</t>
        </is>
      </c>
      <c r="C47" t="inlineStr">
        <is>
          <t>Ngày họp HĐ Đạo đức (02, 03)</t>
        </is>
      </c>
    </row>
    <row r="48">
      <c r="A48" t="inlineStr">
        <is>
          <t>{{NGAY_HOP_KHOA_HOC}}</t>
        </is>
      </c>
      <c r="B48" t="inlineStr">
        <is>
          <t>G19</t>
        </is>
      </c>
      <c r="C48" t="inlineStr">
        <is>
          <t>Ngày họp HĐ Khoa học (06, 07)</t>
        </is>
      </c>
    </row>
    <row r="49">
      <c r="A49" t="inlineStr">
        <is>
          <t>{{NGAY_HOP_NGHIEM_THU}}</t>
        </is>
      </c>
      <c r="B49" t="inlineStr">
        <is>
          <t>G20</t>
        </is>
      </c>
      <c r="C49" t="inlineStr">
        <is>
          <t>Ngày họp HĐ Nghiệm thu (10, 11)</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sheetData>
    <row r="1">
      <c r="A1" t="inlineStr">
        <is>
          <t>MÃ_BỘ</t>
        </is>
      </c>
      <c r="B1" t="inlineStr">
        <is>
          <t>TÊN_BỘ_HỒ_SƠ</t>
        </is>
      </c>
      <c r="C1" t="inlineStr">
        <is>
          <t>MÔ_TẢ_PHẠM_VI</t>
        </is>
      </c>
      <c r="D1" t="inlineStr">
        <is>
          <t>CÁC_PHẦN_XUẤT</t>
        </is>
      </c>
      <c r="E1" t="inlineStr">
        <is>
          <t>THƯ_MỤC_MẪU</t>
        </is>
      </c>
    </row>
    <row r="2">
      <c r="A2" t="inlineStr">
        <is>
          <t>A</t>
        </is>
      </c>
      <c r="B2" t="inlineStr">
        <is>
          <t>Bộ A: Hồ sơ NCKH &amp; Đánh giá hiệu quả công thức (Trọn bộ)</t>
        </is>
      </c>
      <c r="C2" t="inlineStr">
        <is>
          <t>Bao gồm đầy đủ 3 Hội đồng: Đạo đức, Khoa học và Nghiệm thu (kèm Thư mời chuyên gia &amp; CV)</t>
        </is>
      </c>
      <c r="D2" t="inlineStr">
        <is>
          <t>dao_duc, khoa_hoc, nghiem_thu</t>
        </is>
      </c>
      <c r="E2" t="inlineStr">
        <is>
          <t>01. Hồ sơ đạo đức đề cương - MẪU, 02. Hồ sơ khoa học đề cương - MẪU, 04. Hồ sơ nghiệm thu - MẪU</t>
        </is>
      </c>
    </row>
    <row r="3">
      <c r="A3" t="inlineStr">
        <is>
          <t>A_dao_duc</t>
        </is>
      </c>
      <c r="B3" t="inlineStr">
        <is>
          <t>Bộ A (Phần 1): Hồ sơ Đạo đức đề cương</t>
        </is>
      </c>
      <c r="C3" t="inlineStr">
        <is>
          <t>Gồm hồ sơ Hội đồng Đạo đức (kèm Thư mời chuyên gia đạo đức &amp; CV Chủ nhiệm)</t>
        </is>
      </c>
      <c r="D3" t="inlineStr">
        <is>
          <t>dao_duc</t>
        </is>
      </c>
      <c r="E3" t="inlineStr">
        <is>
          <t>01. Hồ sơ đạo đức đề cương - MẪU</t>
        </is>
      </c>
    </row>
    <row r="4">
      <c r="A4" t="inlineStr">
        <is>
          <t>A_khoa_hoc</t>
        </is>
      </c>
      <c r="B4" t="inlineStr">
        <is>
          <t>Bộ A (Phần 2): Hồ sơ Khoa học đề cương</t>
        </is>
      </c>
      <c r="C4" t="inlineStr">
        <is>
          <t>Gồm hồ sơ Hội đồng Khoa học xét duyệt đề cương (kèm Thư mời chuyên gia khoa học)</t>
        </is>
      </c>
      <c r="D4" t="inlineStr">
        <is>
          <t>khoa_hoc</t>
        </is>
      </c>
      <c r="E4" t="inlineStr">
        <is>
          <t>02. Hồ sơ khoa học đề cương - MẪU</t>
        </is>
      </c>
    </row>
    <row r="5">
      <c r="A5" t="inlineStr">
        <is>
          <t>A_nghiem_thu</t>
        </is>
      </c>
      <c r="B5" t="inlineStr">
        <is>
          <t>Bộ A (Phần 3): Hồ sơ Nghiệm thu đề tài</t>
        </is>
      </c>
      <c r="C5" t="inlineStr">
        <is>
          <t>Gồm hồ sơ Hội đồng Nghiệm thu kết quả (kèm Thư mời chuyên gia nghiệm thu)</t>
        </is>
      </c>
      <c r="D5" t="inlineStr">
        <is>
          <t>nghiem_thu</t>
        </is>
      </c>
      <c r="E5" t="inlineStr">
        <is>
          <t>04. Hồ sơ nghiệm thu - MẪU</t>
        </is>
      </c>
    </row>
    <row r="6">
      <c r="A6" t="inlineStr">
        <is>
          <t>B</t>
        </is>
      </c>
      <c r="B6" t="inlineStr">
        <is>
          <t>Bộ B: Hồ sơ Thử nghiệm lâm sàng (TNLS)</t>
        </is>
      </c>
      <c r="C6" t="inlineStr">
        <is>
          <t>Bộ hồ sơ phục vụ đề tài Thử nghiệm lâm sàng / Can thiệp lâm sàng (Setup sẵn cho tương lai)</t>
        </is>
      </c>
      <c r="D6" t="inlineStr">
        <is>
          <t>dao_duc, khoa_hoc, nghiem_thu</t>
        </is>
      </c>
      <c r="E6" t="inlineStr">
        <is>
          <t>01. Hồ sơ đạo đức đề cương - MẪU, 02. Hồ sơ khoa học đề cương - MẪU, 04. Hồ sơ nghiệm thu - MẪU</t>
        </is>
      </c>
    </row>
    <row r="7">
      <c r="A7" t="inlineStr">
        <is>
          <t>C</t>
        </is>
      </c>
      <c r="B7" t="inlineStr">
        <is>
          <t>Bộ C: Hồ sơ Nghiên cứu quan sát &amp; Khảo sát dịch tễ</t>
        </is>
      </c>
      <c r="C7" t="inlineStr">
        <is>
          <t>Bộ hồ sơ phục vụ nghiên cứu quan sát, điều tra dịch tễ cộng đồng (Setup sẵn cho tương lai)</t>
        </is>
      </c>
      <c r="D7" t="inlineStr">
        <is>
          <t>dao_duc, khoa_hoc, nghiem_thu</t>
        </is>
      </c>
      <c r="E7" t="inlineStr">
        <is>
          <t>01. Hồ sơ đạo đức đề cương - MẪU, 02. Hồ sơ khoa học đề cương - MẪU, 04. Hồ sơ nghiệm thu - MẪU</t>
        </is>
      </c>
    </row>
    <row r="8">
      <c r="A8" t="inlineStr">
        <is>
          <t>D</t>
        </is>
      </c>
      <c r="B8" t="inlineStr">
        <is>
          <t>Bộ D: Hồ sơ Tư vấn sản phẩm &amp; Chuyển giao công nghệ</t>
        </is>
      </c>
      <c r="C8" t="inlineStr">
        <is>
          <t>Bộ hồ sơ phục vụ dự án tư vấn công thức và chuyển giao công nghệ sản phẩm (Setup sẵn cho tương lai)</t>
        </is>
      </c>
      <c r="D8" t="inlineStr">
        <is>
          <t>dao_duc, khoa_hoc, nghiem_thu</t>
        </is>
      </c>
      <c r="E8" t="inlineStr">
        <is>
          <t>01. Hồ sơ đạo đức đề cương - MẪU, 02. Hồ sơ khoa học đề cương - MẪU, 04. Hồ sơ nghiệm thu - MẪU</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VIAMRC</dc:creator>
  <dcterms:created xmlns:dcterms="http://purl.org/dc/terms/" xmlns:xsi="http://www.w3.org/2001/XMLSchema-instance" xsi:type="dcterms:W3CDTF">2026-08-21T09:55:01Z</dcterms:created>
  <dcterms:modified xmlns:dcterms="http://purl.org/dc/terms/" xmlns:xsi="http://www.w3.org/2001/XMLSchema-instance" xsi:type="dcterms:W3CDTF">2026-08-31T16:31:43Z</dcterms:modified>
  <cp:lastModifiedBy>VIAMRC</cp:lastModifiedBy>
</cp:coreProperties>
</file>